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ode\"/>
    </mc:Choice>
  </mc:AlternateContent>
  <bookViews>
    <workbookView windowWidth="22740" windowHeight="8975"/>
  </bookViews>
  <sheets>
    <sheet name="设置" sheetId="1" r:id="rId1"/>
    <sheet name="检查表" sheetId="2" r:id="rId2"/>
    <sheet name="仪表盘" sheetId="3" r:id="rId3"/>
  </sheets>
  <definedNames>
    <definedName name="_xlnm._FilterDatabase" localSheetId="0" hidden="1">设置!$A$1:$E$18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<sst xmlns="http://schemas.openxmlformats.org/spreadsheetml/2006/main" count="107" uniqueCount="50">
  <si>
    <t>状态</t>
  </si>
  <si>
    <t>重要度</t>
  </si>
  <si>
    <t>重要度分值</t>
  </si>
  <si>
    <t>周期</t>
  </si>
  <si>
    <t>类别</t>
  </si>
  <si>
    <t>未完成</t>
  </si>
  <si>
    <t>高</t>
  </si>
  <si>
    <t>一次性</t>
  </si>
  <si>
    <t>基础设置</t>
  </si>
  <si>
    <t>完成</t>
  </si>
  <si>
    <t>中</t>
  </si>
  <si>
    <t>每日</t>
  </si>
  <si>
    <t>工作学习</t>
  </si>
  <si>
    <t>不适用</t>
  </si>
  <si>
    <t>低</t>
  </si>
  <si>
    <t>每周</t>
  </si>
  <si>
    <t>信息注意力</t>
  </si>
  <si>
    <t/>
  </si>
  <si>
    <t>每月</t>
  </si>
  <si>
    <t>身体心理</t>
  </si>
  <si>
    <t>每季度</t>
  </si>
  <si>
    <t>安全</t>
  </si>
  <si>
    <t>每年</t>
  </si>
  <si>
    <t>技能栈</t>
  </si>
  <si>
    <t>知识资产</t>
  </si>
  <si>
    <t>职业收入</t>
  </si>
  <si>
    <t>安全合规</t>
  </si>
  <si>
    <t>复盘</t>
  </si>
  <si>
    <t>战略</t>
  </si>
  <si>
    <t>财务风险</t>
  </si>
  <si>
    <t>健康关系</t>
  </si>
  <si>
    <t>身份方向</t>
  </si>
  <si>
    <t>技能作品</t>
  </si>
  <si>
    <t>意义关系</t>
  </si>
  <si>
    <t>风险底线</t>
  </si>
  <si>
    <t>序号</t>
  </si>
  <si>
    <t>检查项</t>
  </si>
  <si>
    <t>得分</t>
  </si>
  <si>
    <t>备注</t>
  </si>
  <si>
    <t>更新日期</t>
  </si>
  <si>
    <t>总体指标</t>
  </si>
  <si>
    <t>总项数</t>
  </si>
  <si>
    <t>完成数</t>
  </si>
  <si>
    <t>未完成数</t>
  </si>
  <si>
    <t>不适用数</t>
  </si>
  <si>
    <t>有效项数</t>
  </si>
  <si>
    <t>总重要度</t>
  </si>
  <si>
    <t>总得分</t>
  </si>
  <si>
    <t>简单完成率</t>
  </si>
  <si>
    <t>加权完成率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</si>
</sst>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D9D9D9"/>
          <bgColor rgb="FFD9D9D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workbookViewId="0">
      <selection activeCell="A3" sqref="A3"/>
    </sheetView>
  </sheetViews>
  <sheetFormatPr defaultColWidth="9" defaultRowHeight="14.4" outlineLevelCol="4"/>
  <cols>
    <col min="1" max="5" width="17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2</v>
      </c>
      <c r="D3" t="s">
        <v>11</v>
      </c>
      <c r="E3" t="s">
        <v>12</v>
      </c>
    </row>
    <row r="4" spans="1:5">
      <c r="A4" t="s">
        <v>13</v>
      </c>
      <c r="B4" t="s">
        <v>14</v>
      </c>
      <c r="C4">
        <v>1</v>
      </c>
      <c r="D4" t="s">
        <v>15</v>
      </c>
      <c r="E4" t="s">
        <v>16</v>
      </c>
    </row>
    <row r="5" spans="1:5">
      <c r="A5" t="s">
        <v>17</v>
      </c>
      <c r="B5" t="s">
        <v>17</v>
      </c>
      <c r="C5" t="s">
        <v>17</v>
      </c>
      <c r="D5" t="s">
        <v>18</v>
      </c>
      <c r="E5" t="s">
        <v>19</v>
      </c>
    </row>
    <row r="6" spans="1:5">
      <c r="A6" t="s">
        <v>17</v>
      </c>
      <c r="B6" t="s">
        <v>17</v>
      </c>
      <c r="C6" t="s">
        <v>17</v>
      </c>
      <c r="D6" t="s">
        <v>20</v>
      </c>
      <c r="E6" t="s">
        <v>21</v>
      </c>
    </row>
    <row r="7" spans="1:5">
      <c r="A7" t="s">
        <v>17</v>
      </c>
      <c r="B7" t="s">
        <v>17</v>
      </c>
      <c r="C7" t="s">
        <v>17</v>
      </c>
      <c r="D7" t="s">
        <v>22</v>
      </c>
      <c r="E7" t="s">
        <v>23</v>
      </c>
    </row>
    <row r="8" spans="1:5">
      <c r="A8" t="s">
        <v>17</v>
      </c>
      <c r="B8" t="s">
        <v>17</v>
      </c>
      <c r="C8" t="s">
        <v>17</v>
      </c>
      <c r="D8" t="s">
        <v>17</v>
      </c>
      <c r="E8" t="s">
        <v>24</v>
      </c>
    </row>
    <row r="9" spans="1:5">
      <c r="A9" t="s">
        <v>17</v>
      </c>
      <c r="B9" t="s">
        <v>17</v>
      </c>
      <c r="C9" t="s">
        <v>17</v>
      </c>
      <c r="D9" t="s">
        <v>17</v>
      </c>
      <c r="E9" t="s">
        <v>25</v>
      </c>
    </row>
    <row r="10" spans="1:5">
      <c r="A10" t="s">
        <v>17</v>
      </c>
      <c r="B10" t="s">
        <v>17</v>
      </c>
      <c r="C10" t="s">
        <v>17</v>
      </c>
      <c r="D10" t="s">
        <v>17</v>
      </c>
      <c r="E10" t="s">
        <v>26</v>
      </c>
    </row>
    <row r="11" spans="1:5">
      <c r="A11" t="s">
        <v>17</v>
      </c>
      <c r="B11" t="s">
        <v>17</v>
      </c>
      <c r="C11" t="s">
        <v>17</v>
      </c>
      <c r="D11" t="s">
        <v>17</v>
      </c>
      <c r="E11" t="s">
        <v>27</v>
      </c>
    </row>
    <row r="12" spans="1:5">
      <c r="A12" t="s">
        <v>17</v>
      </c>
      <c r="B12" t="s">
        <v>17</v>
      </c>
      <c r="C12" t="s">
        <v>17</v>
      </c>
      <c r="D12" t="s">
        <v>17</v>
      </c>
      <c r="E12" t="s">
        <v>28</v>
      </c>
    </row>
    <row r="13" spans="1:5">
      <c r="A13" t="s">
        <v>17</v>
      </c>
      <c r="B13" t="s">
        <v>17</v>
      </c>
      <c r="C13" t="s">
        <v>17</v>
      </c>
      <c r="D13" t="s">
        <v>17</v>
      </c>
      <c r="E13" t="s">
        <v>29</v>
      </c>
    </row>
    <row r="14" spans="1:5">
      <c r="A14" t="s">
        <v>17</v>
      </c>
      <c r="B14" t="s">
        <v>17</v>
      </c>
      <c r="C14" t="s">
        <v>17</v>
      </c>
      <c r="D14" t="s">
        <v>17</v>
      </c>
      <c r="E14" t="s">
        <v>30</v>
      </c>
    </row>
    <row r="15" spans="1:5">
      <c r="A15" t="s">
        <v>17</v>
      </c>
      <c r="B15" t="s">
        <v>17</v>
      </c>
      <c r="C15" t="s">
        <v>17</v>
      </c>
      <c r="D15" t="s">
        <v>17</v>
      </c>
      <c r="E15" t="s">
        <v>31</v>
      </c>
    </row>
    <row r="16" spans="1:5">
      <c r="A16" t="s">
        <v>17</v>
      </c>
      <c r="B16" t="s">
        <v>17</v>
      </c>
      <c r="C16" t="s">
        <v>17</v>
      </c>
      <c r="D16" t="s">
        <v>17</v>
      </c>
      <c r="E16" t="s">
        <v>32</v>
      </c>
    </row>
    <row r="17" spans="1:5">
      <c r="A17" t="s">
        <v>17</v>
      </c>
      <c r="B17" t="s">
        <v>17</v>
      </c>
      <c r="C17" t="s">
        <v>17</v>
      </c>
      <c r="D17" t="s">
        <v>17</v>
      </c>
      <c r="E17" t="s">
        <v>33</v>
      </c>
    </row>
    <row r="18" spans="1:5">
      <c r="A18" t="s">
        <v>17</v>
      </c>
      <c r="B18" t="s">
        <v>17</v>
      </c>
      <c r="C18" t="s">
        <v>17</v>
      </c>
      <c r="D18" t="s">
        <v>17</v>
      </c>
      <c r="E18" t="s">
        <v>34</v>
      </c>
    </row>
  </sheetData>
  <autoFilter xmlns:etc="http://www.wps.cn/officeDocument/2017/etCustomData" ref="A1:E1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9" defaultRowHeight="14.4"/>
  <sheetData>
    <row r="1" spans="1:10">
      <c r="A1" t="s">
        <v>35</v>
      </c>
      <c r="B1" t="s">
        <v>3</v>
      </c>
      <c r="C1" t="s">
        <v>4</v>
      </c>
      <c r="D1" t="s">
        <v>36</v>
      </c>
      <c r="E1" t="s">
        <v>0</v>
      </c>
      <c r="F1" t="s">
        <v>1</v>
      </c>
      <c r="G1" t="s">
        <v>2</v>
      </c>
      <c r="H1" t="s">
        <v>37</v>
      </c>
      <c r="I1" t="s">
        <v>38</v>
      </c>
      <c r="J1" t="s">
        <v>39</v>
      </c>
    </row>
    <row r="2" spans="1:10">
      <c r="G2" t="str">
        <f>IF(F2="","",VLOOKUP(F2,设置!$B$2:$C$4,2,FALSE))</f>
        <v/>
      </c>
      <c r="H2">
        <f t="shared" ref="H2:H65" si="0">IF(E2="完成",G2,0)</f>
        <v>0</v>
      </c>
    </row>
    <row r="3" spans="1:10">
      <c r="G3" t="str">
        <f>IF(F3="","",VLOOKUP(F3,设置!$B$2:$C$4,2,FALSE))</f>
        <v/>
      </c>
      <c r="H3">
        <f t="shared" si="0"/>
        <v>0</v>
      </c>
    </row>
    <row r="4" spans="1:10">
      <c r="G4" t="str">
        <f>IF(F4="","",VLOOKUP(F4,设置!$B$2:$C$4,2,FALSE))</f>
        <v/>
      </c>
      <c r="H4">
        <f t="shared" si="0"/>
        <v>0</v>
      </c>
    </row>
    <row r="5" spans="1:10">
      <c r="G5" t="str">
        <f>IF(F5="","",VLOOKUP(F5,设置!$B$2:$C$4,2,FALSE))</f>
        <v/>
      </c>
      <c r="H5">
        <f t="shared" si="0"/>
        <v>0</v>
      </c>
    </row>
    <row r="6" spans="1:10">
      <c r="G6" t="str">
        <f>IF(F6="","",VLOOKUP(F6,设置!$B$2:$C$4,2,FALSE))</f>
        <v/>
      </c>
      <c r="H6">
        <f t="shared" si="0"/>
        <v>0</v>
      </c>
    </row>
    <row r="7" spans="1:10">
      <c r="G7" t="str">
        <f>IF(F7="","",VLOOKUP(F7,设置!$B$2:$C$4,2,FALSE))</f>
        <v/>
      </c>
      <c r="H7">
        <f t="shared" si="0"/>
        <v>0</v>
      </c>
    </row>
    <row r="8" spans="1:10">
      <c r="G8" t="str">
        <f>IF(F8="","",VLOOKUP(F8,设置!$B$2:$C$4,2,FALSE))</f>
        <v/>
      </c>
      <c r="H8">
        <f t="shared" si="0"/>
        <v>0</v>
      </c>
    </row>
    <row r="9" spans="1:10">
      <c r="G9" t="str">
        <f>IF(F9="","",VLOOKUP(F9,设置!$B$2:$C$4,2,FALSE))</f>
        <v/>
      </c>
      <c r="H9">
        <f t="shared" si="0"/>
        <v>0</v>
      </c>
    </row>
    <row r="10" spans="1:10">
      <c r="G10" t="str">
        <f>IF(F10="","",VLOOKUP(F10,设置!$B$2:$C$4,2,FALSE))</f>
        <v/>
      </c>
      <c r="H10">
        <f t="shared" si="0"/>
        <v>0</v>
      </c>
    </row>
    <row r="11" spans="1:10">
      <c r="G11" t="str">
        <f>IF(F11="","",VLOOKUP(F11,设置!$B$2:$C$4,2,FALSE))</f>
        <v/>
      </c>
      <c r="H11">
        <f t="shared" si="0"/>
        <v>0</v>
      </c>
    </row>
    <row r="12" spans="1:10">
      <c r="G12" t="str">
        <f>IF(F12="","",VLOOKUP(F12,设置!$B$2:$C$4,2,FALSE))</f>
        <v/>
      </c>
      <c r="H12">
        <f t="shared" si="0"/>
        <v>0</v>
      </c>
    </row>
    <row r="13" spans="1:10">
      <c r="G13" t="str">
        <f>IF(F13="","",VLOOKUP(F13,设置!$B$2:$C$4,2,FALSE))</f>
        <v/>
      </c>
      <c r="H13">
        <f t="shared" si="0"/>
        <v>0</v>
      </c>
    </row>
    <row r="14" spans="1:10">
      <c r="G14" t="str">
        <f>IF(F14="","",VLOOKUP(F14,设置!$B$2:$C$4,2,FALSE))</f>
        <v/>
      </c>
      <c r="H14">
        <f t="shared" si="0"/>
        <v>0</v>
      </c>
    </row>
    <row r="15" spans="1:10">
      <c r="G15" t="str">
        <f>IF(F15="","",VLOOKUP(F15,设置!$B$2:$C$4,2,FALSE))</f>
        <v/>
      </c>
      <c r="H15">
        <f t="shared" si="0"/>
        <v>0</v>
      </c>
    </row>
    <row r="16" spans="1:10">
      <c r="G16" t="str">
        <f>IF(F16="","",VLOOKUP(F16,设置!$B$2:$C$4,2,FALSE))</f>
        <v/>
      </c>
      <c r="H16">
        <f t="shared" si="0"/>
        <v>0</v>
      </c>
    </row>
    <row r="17" spans="7:8">
      <c r="G17" t="str">
        <f>IF(F17="","",VLOOKUP(F17,设置!$B$2:$C$4,2,FALSE))</f>
        <v/>
      </c>
      <c r="H17">
        <f t="shared" si="0"/>
        <v>0</v>
      </c>
    </row>
    <row r="18" spans="7:8">
      <c r="G18" t="str">
        <f>IF(F18="","",VLOOKUP(F18,设置!$B$2:$C$4,2,FALSE))</f>
        <v/>
      </c>
      <c r="H18">
        <f t="shared" si="0"/>
        <v>0</v>
      </c>
    </row>
    <row r="19" spans="7:8">
      <c r="G19" t="str">
        <f>IF(F19="","",VLOOKUP(F19,设置!$B$2:$C$4,2,FALSE))</f>
        <v/>
      </c>
      <c r="H19">
        <f t="shared" si="0"/>
        <v>0</v>
      </c>
    </row>
    <row r="20" spans="7:8">
      <c r="G20" t="str">
        <f>IF(F20="","",VLOOKUP(F20,设置!$B$2:$C$4,2,FALSE))</f>
        <v/>
      </c>
      <c r="H20">
        <f t="shared" si="0"/>
        <v>0</v>
      </c>
    </row>
    <row r="21" spans="7:8">
      <c r="G21" t="str">
        <f>IF(F21="","",VLOOKUP(F21,设置!$B$2:$C$4,2,FALSE))</f>
        <v/>
      </c>
      <c r="H21">
        <f t="shared" si="0"/>
        <v>0</v>
      </c>
    </row>
    <row r="22" spans="7:8">
      <c r="G22" t="str">
        <f>IF(F22="","",VLOOKUP(F22,设置!$B$2:$C$4,2,FALSE))</f>
        <v/>
      </c>
      <c r="H22">
        <f t="shared" si="0"/>
        <v>0</v>
      </c>
    </row>
    <row r="23" spans="7:8">
      <c r="G23" t="str">
        <f>IF(F23="","",VLOOKUP(F23,设置!$B$2:$C$4,2,FALSE))</f>
        <v/>
      </c>
      <c r="H23">
        <f t="shared" si="0"/>
        <v>0</v>
      </c>
    </row>
    <row r="24" spans="7:8">
      <c r="G24" t="str">
        <f>IF(F24="","",VLOOKUP(F24,设置!$B$2:$C$4,2,FALSE))</f>
        <v/>
      </c>
      <c r="H24">
        <f t="shared" si="0"/>
        <v>0</v>
      </c>
    </row>
    <row r="25" spans="7:8">
      <c r="G25" t="str">
        <f>IF(F25="","",VLOOKUP(F25,设置!$B$2:$C$4,2,FALSE))</f>
        <v/>
      </c>
      <c r="H25">
        <f t="shared" si="0"/>
        <v>0</v>
      </c>
    </row>
    <row r="26" spans="7:8">
      <c r="G26" t="str">
        <f>IF(F26="","",VLOOKUP(F26,设置!$B$2:$C$4,2,FALSE))</f>
        <v/>
      </c>
      <c r="H26">
        <f t="shared" si="0"/>
        <v>0</v>
      </c>
    </row>
    <row r="27" spans="7:8">
      <c r="G27" t="str">
        <f>IF(F27="","",VLOOKUP(F27,设置!$B$2:$C$4,2,FALSE))</f>
        <v/>
      </c>
      <c r="H27">
        <f t="shared" si="0"/>
        <v>0</v>
      </c>
    </row>
    <row r="28" spans="7:8">
      <c r="G28" t="str">
        <f>IF(F28="","",VLOOKUP(F28,设置!$B$2:$C$4,2,FALSE))</f>
        <v/>
      </c>
      <c r="H28">
        <f t="shared" si="0"/>
        <v>0</v>
      </c>
    </row>
    <row r="29" spans="7:8">
      <c r="G29" t="str">
        <f>IF(F29="","",VLOOKUP(F29,设置!$B$2:$C$4,2,FALSE))</f>
        <v/>
      </c>
      <c r="H29">
        <f t="shared" si="0"/>
        <v>0</v>
      </c>
    </row>
    <row r="30" spans="7:8">
      <c r="G30" t="str">
        <f>IF(F30="","",VLOOKUP(F30,设置!$B$2:$C$4,2,FALSE))</f>
        <v/>
      </c>
      <c r="H30">
        <f t="shared" si="0"/>
        <v>0</v>
      </c>
    </row>
    <row r="31" spans="7:8">
      <c r="G31" t="str">
        <f>IF(F31="","",VLOOKUP(F31,设置!$B$2:$C$4,2,FALSE))</f>
        <v/>
      </c>
      <c r="H31">
        <f t="shared" si="0"/>
        <v>0</v>
      </c>
    </row>
    <row r="32" spans="7:8">
      <c r="G32" t="str">
        <f>IF(F32="","",VLOOKUP(F32,设置!$B$2:$C$4,2,FALSE))</f>
        <v/>
      </c>
      <c r="H32">
        <f t="shared" si="0"/>
        <v>0</v>
      </c>
    </row>
    <row r="33" spans="7:8">
      <c r="G33" t="str">
        <f>IF(F33="","",VLOOKUP(F33,设置!$B$2:$C$4,2,FALSE))</f>
        <v/>
      </c>
      <c r="H33">
        <f t="shared" si="0"/>
        <v>0</v>
      </c>
    </row>
    <row r="34" spans="7:8">
      <c r="G34" t="str">
        <f>IF(F34="","",VLOOKUP(F34,设置!$B$2:$C$4,2,FALSE))</f>
        <v/>
      </c>
      <c r="H34">
        <f t="shared" si="0"/>
        <v>0</v>
      </c>
    </row>
    <row r="35" spans="7:8">
      <c r="G35" t="str">
        <f>IF(F35="","",VLOOKUP(F35,设置!$B$2:$C$4,2,FALSE))</f>
        <v/>
      </c>
      <c r="H35">
        <f t="shared" si="0"/>
        <v>0</v>
      </c>
    </row>
    <row r="36" spans="7:8">
      <c r="G36" t="str">
        <f>IF(F36="","",VLOOKUP(F36,设置!$B$2:$C$4,2,FALSE))</f>
        <v/>
      </c>
      <c r="H36">
        <f t="shared" si="0"/>
        <v>0</v>
      </c>
    </row>
    <row r="37" spans="7:8">
      <c r="G37" t="str">
        <f>IF(F37="","",VLOOKUP(F37,设置!$B$2:$C$4,2,FALSE))</f>
        <v/>
      </c>
      <c r="H37">
        <f t="shared" si="0"/>
        <v>0</v>
      </c>
    </row>
    <row r="38" spans="7:8">
      <c r="G38" t="str">
        <f>IF(F38="","",VLOOKUP(F38,设置!$B$2:$C$4,2,FALSE))</f>
        <v/>
      </c>
      <c r="H38">
        <f t="shared" si="0"/>
        <v>0</v>
      </c>
    </row>
    <row r="39" spans="7:8">
      <c r="G39" t="str">
        <f>IF(F39="","",VLOOKUP(F39,设置!$B$2:$C$4,2,FALSE))</f>
        <v/>
      </c>
      <c r="H39">
        <f t="shared" si="0"/>
        <v>0</v>
      </c>
    </row>
    <row r="40" spans="7:8">
      <c r="G40" t="str">
        <f>IF(F40="","",VLOOKUP(F40,设置!$B$2:$C$4,2,FALSE))</f>
        <v/>
      </c>
      <c r="H40">
        <f t="shared" si="0"/>
        <v>0</v>
      </c>
    </row>
    <row r="41" spans="7:8">
      <c r="G41" t="str">
        <f>IF(F41="","",VLOOKUP(F41,设置!$B$2:$C$4,2,FALSE))</f>
        <v/>
      </c>
      <c r="H41">
        <f t="shared" si="0"/>
        <v>0</v>
      </c>
    </row>
    <row r="42" spans="7:8">
      <c r="G42" t="str">
        <f>IF(F42="","",VLOOKUP(F42,设置!$B$2:$C$4,2,FALSE))</f>
        <v/>
      </c>
      <c r="H42">
        <f t="shared" si="0"/>
        <v>0</v>
      </c>
    </row>
    <row r="43" spans="7:8">
      <c r="G43" t="str">
        <f>IF(F43="","",VLOOKUP(F43,设置!$B$2:$C$4,2,FALSE))</f>
        <v/>
      </c>
      <c r="H43">
        <f t="shared" si="0"/>
        <v>0</v>
      </c>
    </row>
    <row r="44" spans="7:8">
      <c r="G44" t="str">
        <f>IF(F44="","",VLOOKUP(F44,设置!$B$2:$C$4,2,FALSE))</f>
        <v/>
      </c>
      <c r="H44">
        <f t="shared" si="0"/>
        <v>0</v>
      </c>
    </row>
    <row r="45" spans="7:8">
      <c r="G45" t="str">
        <f>IF(F45="","",VLOOKUP(F45,设置!$B$2:$C$4,2,FALSE))</f>
        <v/>
      </c>
      <c r="H45">
        <f t="shared" si="0"/>
        <v>0</v>
      </c>
    </row>
    <row r="46" spans="7:8">
      <c r="G46" t="str">
        <f>IF(F46="","",VLOOKUP(F46,设置!$B$2:$C$4,2,FALSE))</f>
        <v/>
      </c>
      <c r="H46">
        <f t="shared" si="0"/>
        <v>0</v>
      </c>
    </row>
    <row r="47" spans="7:8">
      <c r="G47" t="str">
        <f>IF(F47="","",VLOOKUP(F47,设置!$B$2:$C$4,2,FALSE))</f>
        <v/>
      </c>
      <c r="H47">
        <f t="shared" si="0"/>
        <v>0</v>
      </c>
    </row>
    <row r="48" spans="7:8">
      <c r="G48" t="str">
        <f>IF(F48="","",VLOOKUP(F48,设置!$B$2:$C$4,2,FALSE))</f>
        <v/>
      </c>
      <c r="H48">
        <f t="shared" si="0"/>
        <v>0</v>
      </c>
    </row>
    <row r="49" spans="7:8">
      <c r="G49" t="str">
        <f>IF(F49="","",VLOOKUP(F49,设置!$B$2:$C$4,2,FALSE))</f>
        <v/>
      </c>
      <c r="H49">
        <f t="shared" si="0"/>
        <v>0</v>
      </c>
    </row>
    <row r="50" spans="7:8">
      <c r="G50" t="str">
        <f>IF(F50="","",VLOOKUP(F50,设置!$B$2:$C$4,2,FALSE))</f>
        <v/>
      </c>
      <c r="H50">
        <f t="shared" si="0"/>
        <v>0</v>
      </c>
    </row>
    <row r="51" spans="7:8">
      <c r="G51" t="str">
        <f>IF(F51="","",VLOOKUP(F51,设置!$B$2:$C$4,2,FALSE))</f>
        <v/>
      </c>
      <c r="H51">
        <f t="shared" si="0"/>
        <v>0</v>
      </c>
    </row>
    <row r="52" spans="7:8">
      <c r="G52" t="str">
        <f>IF(F52="","",VLOOKUP(F52,设置!$B$2:$C$4,2,FALSE))</f>
        <v/>
      </c>
      <c r="H52">
        <f t="shared" si="0"/>
        <v>0</v>
      </c>
    </row>
    <row r="53" spans="7:8">
      <c r="G53" t="str">
        <f>IF(F53="","",VLOOKUP(F53,设置!$B$2:$C$4,2,FALSE))</f>
        <v/>
      </c>
      <c r="H53">
        <f t="shared" si="0"/>
        <v>0</v>
      </c>
    </row>
    <row r="54" spans="7:8">
      <c r="G54" t="str">
        <f>IF(F54="","",VLOOKUP(F54,设置!$B$2:$C$4,2,FALSE))</f>
        <v/>
      </c>
      <c r="H54">
        <f t="shared" si="0"/>
        <v>0</v>
      </c>
    </row>
    <row r="55" spans="7:8">
      <c r="G55" t="str">
        <f>IF(F55="","",VLOOKUP(F55,设置!$B$2:$C$4,2,FALSE))</f>
        <v/>
      </c>
      <c r="H55">
        <f t="shared" si="0"/>
        <v>0</v>
      </c>
    </row>
    <row r="56" spans="7:8">
      <c r="G56" t="str">
        <f>IF(F56="","",VLOOKUP(F56,设置!$B$2:$C$4,2,FALSE))</f>
        <v/>
      </c>
      <c r="H56">
        <f t="shared" si="0"/>
        <v>0</v>
      </c>
    </row>
    <row r="57" spans="7:8">
      <c r="G57" t="str">
        <f>IF(F57="","",VLOOKUP(F57,设置!$B$2:$C$4,2,FALSE))</f>
        <v/>
      </c>
      <c r="H57">
        <f t="shared" si="0"/>
        <v>0</v>
      </c>
    </row>
    <row r="58" spans="7:8">
      <c r="G58" t="str">
        <f>IF(F58="","",VLOOKUP(F58,设置!$B$2:$C$4,2,FALSE))</f>
        <v/>
      </c>
      <c r="H58">
        <f t="shared" si="0"/>
        <v>0</v>
      </c>
    </row>
    <row r="59" spans="7:8">
      <c r="G59" t="str">
        <f>IF(F59="","",VLOOKUP(F59,设置!$B$2:$C$4,2,FALSE))</f>
        <v/>
      </c>
      <c r="H59">
        <f t="shared" si="0"/>
        <v>0</v>
      </c>
    </row>
    <row r="60" spans="7:8">
      <c r="G60" t="str">
        <f>IF(F60="","",VLOOKUP(F60,设置!$B$2:$C$4,2,FALSE))</f>
        <v/>
      </c>
      <c r="H60">
        <f t="shared" si="0"/>
        <v>0</v>
      </c>
    </row>
    <row r="61" spans="7:8">
      <c r="G61" t="str">
        <f>IF(F61="","",VLOOKUP(F61,设置!$B$2:$C$4,2,FALSE))</f>
        <v/>
      </c>
      <c r="H61">
        <f t="shared" si="0"/>
        <v>0</v>
      </c>
    </row>
    <row r="62" spans="7:8">
      <c r="G62" t="str">
        <f>IF(F62="","",VLOOKUP(F62,设置!$B$2:$C$4,2,FALSE))</f>
        <v/>
      </c>
      <c r="H62">
        <f t="shared" si="0"/>
        <v>0</v>
      </c>
    </row>
    <row r="63" spans="7:8">
      <c r="G63" t="str">
        <f>IF(F63="","",VLOOKUP(F63,设置!$B$2:$C$4,2,FALSE))</f>
        <v/>
      </c>
      <c r="H63">
        <f t="shared" si="0"/>
        <v>0</v>
      </c>
    </row>
    <row r="64" spans="7:8">
      <c r="G64" t="str">
        <f>IF(F64="","",VLOOKUP(F64,设置!$B$2:$C$4,2,FALSE))</f>
        <v/>
      </c>
      <c r="H64">
        <f t="shared" si="0"/>
        <v>0</v>
      </c>
    </row>
    <row r="65" spans="7:8">
      <c r="G65" t="str">
        <f>IF(F65="","",VLOOKUP(F65,设置!$B$2:$C$4,2,FALSE))</f>
        <v/>
      </c>
      <c r="H65">
        <f t="shared" si="0"/>
        <v>0</v>
      </c>
    </row>
    <row r="66" spans="7:8">
      <c r="G66" t="str">
        <f>IF(F66="","",VLOOKUP(F66,设置!$B$2:$C$4,2,FALSE))</f>
        <v/>
      </c>
      <c r="H66">
        <f t="shared" ref="H66:H129" si="1">IF(E66="完成",G66,0)</f>
        <v>0</v>
      </c>
    </row>
    <row r="67" spans="7:8">
      <c r="G67" t="str">
        <f>IF(F67="","",VLOOKUP(F67,设置!$B$2:$C$4,2,FALSE))</f>
        <v/>
      </c>
      <c r="H67">
        <f t="shared" si="1"/>
        <v>0</v>
      </c>
    </row>
    <row r="68" spans="7:8">
      <c r="G68" t="str">
        <f>IF(F68="","",VLOOKUP(F68,设置!$B$2:$C$4,2,FALSE))</f>
        <v/>
      </c>
      <c r="H68">
        <f t="shared" si="1"/>
        <v>0</v>
      </c>
    </row>
    <row r="69" spans="7:8">
      <c r="G69" t="str">
        <f>IF(F69="","",VLOOKUP(F69,设置!$B$2:$C$4,2,FALSE))</f>
        <v/>
      </c>
      <c r="H69">
        <f t="shared" si="1"/>
        <v>0</v>
      </c>
    </row>
    <row r="70" spans="7:8">
      <c r="G70" t="str">
        <f>IF(F70="","",VLOOKUP(F70,设置!$B$2:$C$4,2,FALSE))</f>
        <v/>
      </c>
      <c r="H70">
        <f t="shared" si="1"/>
        <v>0</v>
      </c>
    </row>
    <row r="71" spans="7:8">
      <c r="G71" t="str">
        <f>IF(F71="","",VLOOKUP(F71,设置!$B$2:$C$4,2,FALSE))</f>
        <v/>
      </c>
      <c r="H71">
        <f t="shared" si="1"/>
        <v>0</v>
      </c>
    </row>
    <row r="72" spans="7:8">
      <c r="G72" t="str">
        <f>IF(F72="","",VLOOKUP(F72,设置!$B$2:$C$4,2,FALSE))</f>
        <v/>
      </c>
      <c r="H72">
        <f t="shared" si="1"/>
        <v>0</v>
      </c>
    </row>
    <row r="73" spans="7:8">
      <c r="G73" t="str">
        <f>IF(F73="","",VLOOKUP(F73,设置!$B$2:$C$4,2,FALSE))</f>
        <v/>
      </c>
      <c r="H73">
        <f t="shared" si="1"/>
        <v>0</v>
      </c>
    </row>
    <row r="74" spans="7:8">
      <c r="G74" t="str">
        <f>IF(F74="","",VLOOKUP(F74,设置!$B$2:$C$4,2,FALSE))</f>
        <v/>
      </c>
      <c r="H74">
        <f t="shared" si="1"/>
        <v>0</v>
      </c>
    </row>
    <row r="75" spans="7:8">
      <c r="G75" t="str">
        <f>IF(F75="","",VLOOKUP(F75,设置!$B$2:$C$4,2,FALSE))</f>
        <v/>
      </c>
      <c r="H75">
        <f t="shared" si="1"/>
        <v>0</v>
      </c>
    </row>
    <row r="76" spans="7:8">
      <c r="G76" t="str">
        <f>IF(F76="","",VLOOKUP(F76,设置!$B$2:$C$4,2,FALSE))</f>
        <v/>
      </c>
      <c r="H76">
        <f t="shared" si="1"/>
        <v>0</v>
      </c>
    </row>
    <row r="77" spans="7:8">
      <c r="G77" t="str">
        <f>IF(F77="","",VLOOKUP(F77,设置!$B$2:$C$4,2,FALSE))</f>
        <v/>
      </c>
      <c r="H77">
        <f t="shared" si="1"/>
        <v>0</v>
      </c>
    </row>
    <row r="78" spans="7:8">
      <c r="G78" t="str">
        <f>IF(F78="","",VLOOKUP(F78,设置!$B$2:$C$4,2,FALSE))</f>
        <v/>
      </c>
      <c r="H78">
        <f t="shared" si="1"/>
        <v>0</v>
      </c>
    </row>
    <row r="79" spans="7:8">
      <c r="G79" t="str">
        <f>IF(F79="","",VLOOKUP(F79,设置!$B$2:$C$4,2,FALSE))</f>
        <v/>
      </c>
      <c r="H79">
        <f t="shared" si="1"/>
        <v>0</v>
      </c>
    </row>
    <row r="80" spans="7:8">
      <c r="G80" t="str">
        <f>IF(F80="","",VLOOKUP(F80,设置!$B$2:$C$4,2,FALSE))</f>
        <v/>
      </c>
      <c r="H80">
        <f t="shared" si="1"/>
        <v>0</v>
      </c>
    </row>
    <row r="81" spans="7:8">
      <c r="G81" t="str">
        <f>IF(F81="","",VLOOKUP(F81,设置!$B$2:$C$4,2,FALSE))</f>
        <v/>
      </c>
      <c r="H81">
        <f t="shared" si="1"/>
        <v>0</v>
      </c>
    </row>
    <row r="82" spans="7:8">
      <c r="G82" t="str">
        <f>IF(F82="","",VLOOKUP(F82,设置!$B$2:$C$4,2,FALSE))</f>
        <v/>
      </c>
      <c r="H82">
        <f t="shared" si="1"/>
        <v>0</v>
      </c>
    </row>
    <row r="83" spans="7:8">
      <c r="G83" t="str">
        <f>IF(F83="","",VLOOKUP(F83,设置!$B$2:$C$4,2,FALSE))</f>
        <v/>
      </c>
      <c r="H83">
        <f t="shared" si="1"/>
        <v>0</v>
      </c>
    </row>
    <row r="84" spans="7:8">
      <c r="G84" t="str">
        <f>IF(F84="","",VLOOKUP(F84,设置!$B$2:$C$4,2,FALSE))</f>
        <v/>
      </c>
      <c r="H84">
        <f t="shared" si="1"/>
        <v>0</v>
      </c>
    </row>
    <row r="85" spans="7:8">
      <c r="G85" t="str">
        <f>IF(F85="","",VLOOKUP(F85,设置!$B$2:$C$4,2,FALSE))</f>
        <v/>
      </c>
      <c r="H85">
        <f t="shared" si="1"/>
        <v>0</v>
      </c>
    </row>
    <row r="86" spans="7:8">
      <c r="G86" t="str">
        <f>IF(F86="","",VLOOKUP(F86,设置!$B$2:$C$4,2,FALSE))</f>
        <v/>
      </c>
      <c r="H86">
        <f t="shared" si="1"/>
        <v>0</v>
      </c>
    </row>
    <row r="87" spans="7:8">
      <c r="G87" t="str">
        <f>IF(F87="","",VLOOKUP(F87,设置!$B$2:$C$4,2,FALSE))</f>
        <v/>
      </c>
      <c r="H87">
        <f t="shared" si="1"/>
        <v>0</v>
      </c>
    </row>
    <row r="88" spans="7:8">
      <c r="G88" t="str">
        <f>IF(F88="","",VLOOKUP(F88,设置!$B$2:$C$4,2,FALSE))</f>
        <v/>
      </c>
      <c r="H88">
        <f t="shared" si="1"/>
        <v>0</v>
      </c>
    </row>
    <row r="89" spans="7:8">
      <c r="G89" t="str">
        <f>IF(F89="","",VLOOKUP(F89,设置!$B$2:$C$4,2,FALSE))</f>
        <v/>
      </c>
      <c r="H89">
        <f t="shared" si="1"/>
        <v>0</v>
      </c>
    </row>
    <row r="90" spans="7:8">
      <c r="G90" t="str">
        <f>IF(F90="","",VLOOKUP(F90,设置!$B$2:$C$4,2,FALSE))</f>
        <v/>
      </c>
      <c r="H90">
        <f t="shared" si="1"/>
        <v>0</v>
      </c>
    </row>
    <row r="91" spans="7:8">
      <c r="G91" t="str">
        <f>IF(F91="","",VLOOKUP(F91,设置!$B$2:$C$4,2,FALSE))</f>
        <v/>
      </c>
      <c r="H91">
        <f t="shared" si="1"/>
        <v>0</v>
      </c>
    </row>
    <row r="92" spans="7:8">
      <c r="G92" t="str">
        <f>IF(F92="","",VLOOKUP(F92,设置!$B$2:$C$4,2,FALSE))</f>
        <v/>
      </c>
      <c r="H92">
        <f t="shared" si="1"/>
        <v>0</v>
      </c>
    </row>
    <row r="93" spans="7:8">
      <c r="G93" t="str">
        <f>IF(F93="","",VLOOKUP(F93,设置!$B$2:$C$4,2,FALSE))</f>
        <v/>
      </c>
      <c r="H93">
        <f t="shared" si="1"/>
        <v>0</v>
      </c>
    </row>
    <row r="94" spans="7:8">
      <c r="G94" t="str">
        <f>IF(F94="","",VLOOKUP(F94,设置!$B$2:$C$4,2,FALSE))</f>
        <v/>
      </c>
      <c r="H94">
        <f t="shared" si="1"/>
        <v>0</v>
      </c>
    </row>
    <row r="95" spans="7:8">
      <c r="G95" t="str">
        <f>IF(F95="","",VLOOKUP(F95,设置!$B$2:$C$4,2,FALSE))</f>
        <v/>
      </c>
      <c r="H95">
        <f t="shared" si="1"/>
        <v>0</v>
      </c>
    </row>
    <row r="96" spans="7:8">
      <c r="G96" t="str">
        <f>IF(F96="","",VLOOKUP(F96,设置!$B$2:$C$4,2,FALSE))</f>
        <v/>
      </c>
      <c r="H96">
        <f t="shared" si="1"/>
        <v>0</v>
      </c>
    </row>
    <row r="97" spans="7:8">
      <c r="G97" t="str">
        <f>IF(F97="","",VLOOKUP(F97,设置!$B$2:$C$4,2,FALSE))</f>
        <v/>
      </c>
      <c r="H97">
        <f t="shared" si="1"/>
        <v>0</v>
      </c>
    </row>
    <row r="98" spans="7:8">
      <c r="G98" t="str">
        <f>IF(F98="","",VLOOKUP(F98,设置!$B$2:$C$4,2,FALSE))</f>
        <v/>
      </c>
      <c r="H98">
        <f t="shared" si="1"/>
        <v>0</v>
      </c>
    </row>
    <row r="99" spans="7:8">
      <c r="G99" t="str">
        <f>IF(F99="","",VLOOKUP(F99,设置!$B$2:$C$4,2,FALSE))</f>
        <v/>
      </c>
      <c r="H99">
        <f t="shared" si="1"/>
        <v>0</v>
      </c>
    </row>
    <row r="100" spans="7:8">
      <c r="G100" t="str">
        <f>IF(F100="","",VLOOKUP(F100,设置!$B$2:$C$4,2,FALSE))</f>
        <v/>
      </c>
      <c r="H100">
        <f t="shared" si="1"/>
        <v>0</v>
      </c>
    </row>
    <row r="101" spans="7:8">
      <c r="G101" t="str">
        <f>IF(F101="","",VLOOKUP(F101,设置!$B$2:$C$4,2,FALSE))</f>
        <v/>
      </c>
      <c r="H101">
        <f t="shared" si="1"/>
        <v>0</v>
      </c>
    </row>
    <row r="102" spans="7:8">
      <c r="G102" t="str">
        <f>IF(F102="","",VLOOKUP(F102,设置!$B$2:$C$4,2,FALSE))</f>
        <v/>
      </c>
      <c r="H102">
        <f t="shared" si="1"/>
        <v>0</v>
      </c>
    </row>
    <row r="103" spans="7:8">
      <c r="G103" t="str">
        <f>IF(F103="","",VLOOKUP(F103,设置!$B$2:$C$4,2,FALSE))</f>
        <v/>
      </c>
      <c r="H103">
        <f t="shared" si="1"/>
        <v>0</v>
      </c>
    </row>
    <row r="104" spans="7:8">
      <c r="G104" t="str">
        <f>IF(F104="","",VLOOKUP(F104,设置!$B$2:$C$4,2,FALSE))</f>
        <v/>
      </c>
      <c r="H104">
        <f t="shared" si="1"/>
        <v>0</v>
      </c>
    </row>
    <row r="105" spans="7:8">
      <c r="G105" t="str">
        <f>IF(F105="","",VLOOKUP(F105,设置!$B$2:$C$4,2,FALSE))</f>
        <v/>
      </c>
      <c r="H105">
        <f t="shared" si="1"/>
        <v>0</v>
      </c>
    </row>
    <row r="106" spans="7:8">
      <c r="G106" t="str">
        <f>IF(F106="","",VLOOKUP(F106,设置!$B$2:$C$4,2,FALSE))</f>
        <v/>
      </c>
      <c r="H106">
        <f t="shared" si="1"/>
        <v>0</v>
      </c>
    </row>
    <row r="107" spans="7:8">
      <c r="G107" t="str">
        <f>IF(F107="","",VLOOKUP(F107,设置!$B$2:$C$4,2,FALSE))</f>
        <v/>
      </c>
      <c r="H107">
        <f t="shared" si="1"/>
        <v>0</v>
      </c>
    </row>
    <row r="108" spans="7:8">
      <c r="G108" t="str">
        <f>IF(F108="","",VLOOKUP(F108,设置!$B$2:$C$4,2,FALSE))</f>
        <v/>
      </c>
      <c r="H108">
        <f t="shared" si="1"/>
        <v>0</v>
      </c>
    </row>
    <row r="109" spans="7:8">
      <c r="G109" t="str">
        <f>IF(F109="","",VLOOKUP(F109,设置!$B$2:$C$4,2,FALSE))</f>
        <v/>
      </c>
      <c r="H109">
        <f t="shared" si="1"/>
        <v>0</v>
      </c>
    </row>
    <row r="110" spans="7:8">
      <c r="G110" t="str">
        <f>IF(F110="","",VLOOKUP(F110,设置!$B$2:$C$4,2,FALSE))</f>
        <v/>
      </c>
      <c r="H110">
        <f t="shared" si="1"/>
        <v>0</v>
      </c>
    </row>
    <row r="111" spans="7:8">
      <c r="G111" t="str">
        <f>IF(F111="","",VLOOKUP(F111,设置!$B$2:$C$4,2,FALSE))</f>
        <v/>
      </c>
      <c r="H111">
        <f t="shared" si="1"/>
        <v>0</v>
      </c>
    </row>
    <row r="112" spans="7:8">
      <c r="G112" t="str">
        <f>IF(F112="","",VLOOKUP(F112,设置!$B$2:$C$4,2,FALSE))</f>
        <v/>
      </c>
      <c r="H112">
        <f t="shared" si="1"/>
        <v>0</v>
      </c>
    </row>
    <row r="113" spans="7:8">
      <c r="G113" t="str">
        <f>IF(F113="","",VLOOKUP(F113,设置!$B$2:$C$4,2,FALSE))</f>
        <v/>
      </c>
      <c r="H113">
        <f t="shared" si="1"/>
        <v>0</v>
      </c>
    </row>
    <row r="114" spans="7:8">
      <c r="G114" t="str">
        <f>IF(F114="","",VLOOKUP(F114,设置!$B$2:$C$4,2,FALSE))</f>
        <v/>
      </c>
      <c r="H114">
        <f t="shared" si="1"/>
        <v>0</v>
      </c>
    </row>
    <row r="115" spans="7:8">
      <c r="G115" t="str">
        <f>IF(F115="","",VLOOKUP(F115,设置!$B$2:$C$4,2,FALSE))</f>
        <v/>
      </c>
      <c r="H115">
        <f t="shared" si="1"/>
        <v>0</v>
      </c>
    </row>
    <row r="116" spans="7:8">
      <c r="G116" t="str">
        <f>IF(F116="","",VLOOKUP(F116,设置!$B$2:$C$4,2,FALSE))</f>
        <v/>
      </c>
      <c r="H116">
        <f t="shared" si="1"/>
        <v>0</v>
      </c>
    </row>
    <row r="117" spans="7:8">
      <c r="G117" t="str">
        <f>IF(F117="","",VLOOKUP(F117,设置!$B$2:$C$4,2,FALSE))</f>
        <v/>
      </c>
      <c r="H117">
        <f t="shared" si="1"/>
        <v>0</v>
      </c>
    </row>
    <row r="118" spans="7:8">
      <c r="G118" t="str">
        <f>IF(F118="","",VLOOKUP(F118,设置!$B$2:$C$4,2,FALSE))</f>
        <v/>
      </c>
      <c r="H118">
        <f t="shared" si="1"/>
        <v>0</v>
      </c>
    </row>
    <row r="119" spans="7:8">
      <c r="G119" t="str">
        <f>IF(F119="","",VLOOKUP(F119,设置!$B$2:$C$4,2,FALSE))</f>
        <v/>
      </c>
      <c r="H119">
        <f t="shared" si="1"/>
        <v>0</v>
      </c>
    </row>
    <row r="120" spans="7:8">
      <c r="G120" t="str">
        <f>IF(F120="","",VLOOKUP(F120,设置!$B$2:$C$4,2,FALSE))</f>
        <v/>
      </c>
      <c r="H120">
        <f t="shared" si="1"/>
        <v>0</v>
      </c>
    </row>
    <row r="121" spans="7:8">
      <c r="G121" t="str">
        <f>IF(F121="","",VLOOKUP(F121,设置!$B$2:$C$4,2,FALSE))</f>
        <v/>
      </c>
      <c r="H121">
        <f t="shared" si="1"/>
        <v>0</v>
      </c>
    </row>
    <row r="122" spans="7:8">
      <c r="G122" t="str">
        <f>IF(F122="","",VLOOKUP(F122,设置!$B$2:$C$4,2,FALSE))</f>
        <v/>
      </c>
      <c r="H122">
        <f t="shared" si="1"/>
        <v>0</v>
      </c>
    </row>
    <row r="123" spans="7:8">
      <c r="G123" t="str">
        <f>IF(F123="","",VLOOKUP(F123,设置!$B$2:$C$4,2,FALSE))</f>
        <v/>
      </c>
      <c r="H123">
        <f t="shared" si="1"/>
        <v>0</v>
      </c>
    </row>
    <row r="124" spans="7:8">
      <c r="G124" t="str">
        <f>IF(F124="","",VLOOKUP(F124,设置!$B$2:$C$4,2,FALSE))</f>
        <v/>
      </c>
      <c r="H124">
        <f t="shared" si="1"/>
        <v>0</v>
      </c>
    </row>
    <row r="125" spans="7:8">
      <c r="G125" t="str">
        <f>IF(F125="","",VLOOKUP(F125,设置!$B$2:$C$4,2,FALSE))</f>
        <v/>
      </c>
      <c r="H125">
        <f t="shared" si="1"/>
        <v>0</v>
      </c>
    </row>
    <row r="126" spans="7:8">
      <c r="G126" t="str">
        <f>IF(F126="","",VLOOKUP(F126,设置!$B$2:$C$4,2,FALSE))</f>
        <v/>
      </c>
      <c r="H126">
        <f t="shared" si="1"/>
        <v>0</v>
      </c>
    </row>
    <row r="127" spans="7:8">
      <c r="G127" t="str">
        <f>IF(F127="","",VLOOKUP(F127,设置!$B$2:$C$4,2,FALSE))</f>
        <v/>
      </c>
      <c r="H127">
        <f t="shared" si="1"/>
        <v>0</v>
      </c>
    </row>
    <row r="128" spans="7:8">
      <c r="G128" t="str">
        <f>IF(F128="","",VLOOKUP(F128,设置!$B$2:$C$4,2,FALSE))</f>
        <v/>
      </c>
      <c r="H128">
        <f t="shared" si="1"/>
        <v>0</v>
      </c>
    </row>
    <row r="129" spans="7:8">
      <c r="G129" t="str">
        <f>IF(F129="","",VLOOKUP(F129,设置!$B$2:$C$4,2,FALSE))</f>
        <v/>
      </c>
      <c r="H129">
        <f t="shared" si="1"/>
        <v>0</v>
      </c>
    </row>
    <row r="130" spans="7:8">
      <c r="G130" t="str">
        <f>IF(F130="","",VLOOKUP(F130,设置!$B$2:$C$4,2,FALSE))</f>
        <v/>
      </c>
      <c r="H130">
        <f t="shared" ref="H130:H193" si="2">IF(E130="完成",G130,0)</f>
        <v>0</v>
      </c>
    </row>
    <row r="131" spans="7:8">
      <c r="G131" t="str">
        <f>IF(F131="","",VLOOKUP(F131,设置!$B$2:$C$4,2,FALSE))</f>
        <v/>
      </c>
      <c r="H131">
        <f t="shared" si="2"/>
        <v>0</v>
      </c>
    </row>
    <row r="132" spans="7:8">
      <c r="G132" t="str">
        <f>IF(F132="","",VLOOKUP(F132,设置!$B$2:$C$4,2,FALSE))</f>
        <v/>
      </c>
      <c r="H132">
        <f t="shared" si="2"/>
        <v>0</v>
      </c>
    </row>
    <row r="133" spans="7:8">
      <c r="G133" t="str">
        <f>IF(F133="","",VLOOKUP(F133,设置!$B$2:$C$4,2,FALSE))</f>
        <v/>
      </c>
      <c r="H133">
        <f t="shared" si="2"/>
        <v>0</v>
      </c>
    </row>
    <row r="134" spans="7:8">
      <c r="G134" t="str">
        <f>IF(F134="","",VLOOKUP(F134,设置!$B$2:$C$4,2,FALSE))</f>
        <v/>
      </c>
      <c r="H134">
        <f t="shared" si="2"/>
        <v>0</v>
      </c>
    </row>
    <row r="135" spans="7:8">
      <c r="G135" t="str">
        <f>IF(F135="","",VLOOKUP(F135,设置!$B$2:$C$4,2,FALSE))</f>
        <v/>
      </c>
      <c r="H135">
        <f t="shared" si="2"/>
        <v>0</v>
      </c>
    </row>
    <row r="136" spans="7:8">
      <c r="G136" t="str">
        <f>IF(F136="","",VLOOKUP(F136,设置!$B$2:$C$4,2,FALSE))</f>
        <v/>
      </c>
      <c r="H136">
        <f t="shared" si="2"/>
        <v>0</v>
      </c>
    </row>
    <row r="137" spans="7:8">
      <c r="G137" t="str">
        <f>IF(F137="","",VLOOKUP(F137,设置!$B$2:$C$4,2,FALSE))</f>
        <v/>
      </c>
      <c r="H137">
        <f t="shared" si="2"/>
        <v>0</v>
      </c>
    </row>
    <row r="138" spans="7:8">
      <c r="G138" t="str">
        <f>IF(F138="","",VLOOKUP(F138,设置!$B$2:$C$4,2,FALSE))</f>
        <v/>
      </c>
      <c r="H138">
        <f t="shared" si="2"/>
        <v>0</v>
      </c>
    </row>
    <row r="139" spans="7:8">
      <c r="G139" t="str">
        <f>IF(F139="","",VLOOKUP(F139,设置!$B$2:$C$4,2,FALSE))</f>
        <v/>
      </c>
      <c r="H139">
        <f t="shared" si="2"/>
        <v>0</v>
      </c>
    </row>
    <row r="140" spans="7:8">
      <c r="G140" t="str">
        <f>IF(F140="","",VLOOKUP(F140,设置!$B$2:$C$4,2,FALSE))</f>
        <v/>
      </c>
      <c r="H140">
        <f t="shared" si="2"/>
        <v>0</v>
      </c>
    </row>
    <row r="141" spans="7:8">
      <c r="G141" t="str">
        <f>IF(F141="","",VLOOKUP(F141,设置!$B$2:$C$4,2,FALSE))</f>
        <v/>
      </c>
      <c r="H141">
        <f t="shared" si="2"/>
        <v>0</v>
      </c>
    </row>
    <row r="142" spans="7:8">
      <c r="G142" t="str">
        <f>IF(F142="","",VLOOKUP(F142,设置!$B$2:$C$4,2,FALSE))</f>
        <v/>
      </c>
      <c r="H142">
        <f t="shared" si="2"/>
        <v>0</v>
      </c>
    </row>
    <row r="143" spans="7:8">
      <c r="G143" t="str">
        <f>IF(F143="","",VLOOKUP(F143,设置!$B$2:$C$4,2,FALSE))</f>
        <v/>
      </c>
      <c r="H143">
        <f t="shared" si="2"/>
        <v>0</v>
      </c>
    </row>
    <row r="144" spans="7:8">
      <c r="G144" t="str">
        <f>IF(F144="","",VLOOKUP(F144,设置!$B$2:$C$4,2,FALSE))</f>
        <v/>
      </c>
      <c r="H144">
        <f t="shared" si="2"/>
        <v>0</v>
      </c>
    </row>
    <row r="145" spans="7:8">
      <c r="G145" t="str">
        <f>IF(F145="","",VLOOKUP(F145,设置!$B$2:$C$4,2,FALSE))</f>
        <v/>
      </c>
      <c r="H145">
        <f t="shared" si="2"/>
        <v>0</v>
      </c>
    </row>
    <row r="146" spans="7:8">
      <c r="G146" t="str">
        <f>IF(F146="","",VLOOKUP(F146,设置!$B$2:$C$4,2,FALSE))</f>
        <v/>
      </c>
      <c r="H146">
        <f t="shared" si="2"/>
        <v>0</v>
      </c>
    </row>
    <row r="147" spans="7:8">
      <c r="G147" t="str">
        <f>IF(F147="","",VLOOKUP(F147,设置!$B$2:$C$4,2,FALSE))</f>
        <v/>
      </c>
      <c r="H147">
        <f t="shared" si="2"/>
        <v>0</v>
      </c>
    </row>
    <row r="148" spans="7:8">
      <c r="G148" t="str">
        <f>IF(F148="","",VLOOKUP(F148,设置!$B$2:$C$4,2,FALSE))</f>
        <v/>
      </c>
      <c r="H148">
        <f t="shared" si="2"/>
        <v>0</v>
      </c>
    </row>
    <row r="149" spans="7:8">
      <c r="G149" t="str">
        <f>IF(F149="","",VLOOKUP(F149,设置!$B$2:$C$4,2,FALSE))</f>
        <v/>
      </c>
      <c r="H149">
        <f t="shared" si="2"/>
        <v>0</v>
      </c>
    </row>
    <row r="150" spans="7:8">
      <c r="G150" t="str">
        <f>IF(F150="","",VLOOKUP(F150,设置!$B$2:$C$4,2,FALSE))</f>
        <v/>
      </c>
      <c r="H150">
        <f t="shared" si="2"/>
        <v>0</v>
      </c>
    </row>
    <row r="151" spans="7:8">
      <c r="G151" t="str">
        <f>IF(F151="","",VLOOKUP(F151,设置!$B$2:$C$4,2,FALSE))</f>
        <v/>
      </c>
      <c r="H151">
        <f t="shared" si="2"/>
        <v>0</v>
      </c>
    </row>
    <row r="152" spans="7:8">
      <c r="G152" t="str">
        <f>IF(F152="","",VLOOKUP(F152,设置!$B$2:$C$4,2,FALSE))</f>
        <v/>
      </c>
      <c r="H152">
        <f t="shared" si="2"/>
        <v>0</v>
      </c>
    </row>
    <row r="153" spans="7:8">
      <c r="G153" t="str">
        <f>IF(F153="","",VLOOKUP(F153,设置!$B$2:$C$4,2,FALSE))</f>
        <v/>
      </c>
      <c r="H153">
        <f t="shared" si="2"/>
        <v>0</v>
      </c>
    </row>
    <row r="154" spans="7:8">
      <c r="G154" t="str">
        <f>IF(F154="","",VLOOKUP(F154,设置!$B$2:$C$4,2,FALSE))</f>
        <v/>
      </c>
      <c r="H154">
        <f t="shared" si="2"/>
        <v>0</v>
      </c>
    </row>
    <row r="155" spans="7:8">
      <c r="G155" t="str">
        <f>IF(F155="","",VLOOKUP(F155,设置!$B$2:$C$4,2,FALSE))</f>
        <v/>
      </c>
      <c r="H155">
        <f t="shared" si="2"/>
        <v>0</v>
      </c>
    </row>
    <row r="156" spans="7:8">
      <c r="G156" t="str">
        <f>IF(F156="","",VLOOKUP(F156,设置!$B$2:$C$4,2,FALSE))</f>
        <v/>
      </c>
      <c r="H156">
        <f t="shared" si="2"/>
        <v>0</v>
      </c>
    </row>
    <row r="157" spans="7:8">
      <c r="G157" t="str">
        <f>IF(F157="","",VLOOKUP(F157,设置!$B$2:$C$4,2,FALSE))</f>
        <v/>
      </c>
      <c r="H157">
        <f t="shared" si="2"/>
        <v>0</v>
      </c>
    </row>
    <row r="158" spans="7:8">
      <c r="G158" t="str">
        <f>IF(F158="","",VLOOKUP(F158,设置!$B$2:$C$4,2,FALSE))</f>
        <v/>
      </c>
      <c r="H158">
        <f t="shared" si="2"/>
        <v>0</v>
      </c>
    </row>
    <row r="159" spans="7:8">
      <c r="G159" t="str">
        <f>IF(F159="","",VLOOKUP(F159,设置!$B$2:$C$4,2,FALSE))</f>
        <v/>
      </c>
      <c r="H159">
        <f t="shared" si="2"/>
        <v>0</v>
      </c>
    </row>
    <row r="160" spans="7:8">
      <c r="G160" t="str">
        <f>IF(F160="","",VLOOKUP(F160,设置!$B$2:$C$4,2,FALSE))</f>
        <v/>
      </c>
      <c r="H160">
        <f t="shared" si="2"/>
        <v>0</v>
      </c>
    </row>
    <row r="161" spans="7:8">
      <c r="G161" t="str">
        <f>IF(F161="","",VLOOKUP(F161,设置!$B$2:$C$4,2,FALSE))</f>
        <v/>
      </c>
      <c r="H161">
        <f t="shared" si="2"/>
        <v>0</v>
      </c>
    </row>
    <row r="162" spans="7:8">
      <c r="G162" t="str">
        <f>IF(F162="","",VLOOKUP(F162,设置!$B$2:$C$4,2,FALSE))</f>
        <v/>
      </c>
      <c r="H162">
        <f t="shared" si="2"/>
        <v>0</v>
      </c>
    </row>
    <row r="163" spans="7:8">
      <c r="G163" t="str">
        <f>IF(F163="","",VLOOKUP(F163,设置!$B$2:$C$4,2,FALSE))</f>
        <v/>
      </c>
      <c r="H163">
        <f t="shared" si="2"/>
        <v>0</v>
      </c>
    </row>
    <row r="164" spans="7:8">
      <c r="G164" t="str">
        <f>IF(F164="","",VLOOKUP(F164,设置!$B$2:$C$4,2,FALSE))</f>
        <v/>
      </c>
      <c r="H164">
        <f t="shared" si="2"/>
        <v>0</v>
      </c>
    </row>
    <row r="165" spans="7:8">
      <c r="G165" t="str">
        <f>IF(F165="","",VLOOKUP(F165,设置!$B$2:$C$4,2,FALSE))</f>
        <v/>
      </c>
      <c r="H165">
        <f t="shared" si="2"/>
        <v>0</v>
      </c>
    </row>
    <row r="166" spans="7:8">
      <c r="G166" t="str">
        <f>IF(F166="","",VLOOKUP(F166,设置!$B$2:$C$4,2,FALSE))</f>
        <v/>
      </c>
      <c r="H166">
        <f t="shared" si="2"/>
        <v>0</v>
      </c>
    </row>
    <row r="167" spans="7:8">
      <c r="G167" t="str">
        <f>IF(F167="","",VLOOKUP(F167,设置!$B$2:$C$4,2,FALSE))</f>
        <v/>
      </c>
      <c r="H167">
        <f t="shared" si="2"/>
        <v>0</v>
      </c>
    </row>
    <row r="168" spans="7:8">
      <c r="G168" t="str">
        <f>IF(F168="","",VLOOKUP(F168,设置!$B$2:$C$4,2,FALSE))</f>
        <v/>
      </c>
      <c r="H168">
        <f t="shared" si="2"/>
        <v>0</v>
      </c>
    </row>
    <row r="169" spans="7:8">
      <c r="G169" t="str">
        <f>IF(F169="","",VLOOKUP(F169,设置!$B$2:$C$4,2,FALSE))</f>
        <v/>
      </c>
      <c r="H169">
        <f t="shared" si="2"/>
        <v>0</v>
      </c>
    </row>
    <row r="170" spans="7:8">
      <c r="G170" t="str">
        <f>IF(F170="","",VLOOKUP(F170,设置!$B$2:$C$4,2,FALSE))</f>
        <v/>
      </c>
      <c r="H170">
        <f t="shared" si="2"/>
        <v>0</v>
      </c>
    </row>
    <row r="171" spans="7:8">
      <c r="G171" t="str">
        <f>IF(F171="","",VLOOKUP(F171,设置!$B$2:$C$4,2,FALSE))</f>
        <v/>
      </c>
      <c r="H171">
        <f t="shared" si="2"/>
        <v>0</v>
      </c>
    </row>
    <row r="172" spans="7:8">
      <c r="G172" t="str">
        <f>IF(F172="","",VLOOKUP(F172,设置!$B$2:$C$4,2,FALSE))</f>
        <v/>
      </c>
      <c r="H172">
        <f t="shared" si="2"/>
        <v>0</v>
      </c>
    </row>
    <row r="173" spans="7:8">
      <c r="G173" t="str">
        <f>IF(F173="","",VLOOKUP(F173,设置!$B$2:$C$4,2,FALSE))</f>
        <v/>
      </c>
      <c r="H173">
        <f t="shared" si="2"/>
        <v>0</v>
      </c>
    </row>
    <row r="174" spans="7:8">
      <c r="G174" t="str">
        <f>IF(F174="","",VLOOKUP(F174,设置!$B$2:$C$4,2,FALSE))</f>
        <v/>
      </c>
      <c r="H174">
        <f t="shared" si="2"/>
        <v>0</v>
      </c>
    </row>
    <row r="175" spans="7:8">
      <c r="G175" t="str">
        <f>IF(F175="","",VLOOKUP(F175,设置!$B$2:$C$4,2,FALSE))</f>
        <v/>
      </c>
      <c r="H175">
        <f t="shared" si="2"/>
        <v>0</v>
      </c>
    </row>
    <row r="176" spans="7:8">
      <c r="G176" t="str">
        <f>IF(F176="","",VLOOKUP(F176,设置!$B$2:$C$4,2,FALSE))</f>
        <v/>
      </c>
      <c r="H176">
        <f t="shared" si="2"/>
        <v>0</v>
      </c>
    </row>
    <row r="177" spans="7:8">
      <c r="G177" t="str">
        <f>IF(F177="","",VLOOKUP(F177,设置!$B$2:$C$4,2,FALSE))</f>
        <v/>
      </c>
      <c r="H177">
        <f t="shared" si="2"/>
        <v>0</v>
      </c>
    </row>
    <row r="178" spans="7:8">
      <c r="G178" t="str">
        <f>IF(F178="","",VLOOKUP(F178,设置!$B$2:$C$4,2,FALSE))</f>
        <v/>
      </c>
      <c r="H178">
        <f t="shared" si="2"/>
        <v>0</v>
      </c>
    </row>
    <row r="179" spans="7:8">
      <c r="G179" t="str">
        <f>IF(F179="","",VLOOKUP(F179,设置!$B$2:$C$4,2,FALSE))</f>
        <v/>
      </c>
      <c r="H179">
        <f t="shared" si="2"/>
        <v>0</v>
      </c>
    </row>
    <row r="180" spans="7:8">
      <c r="G180" t="str">
        <f>IF(F180="","",VLOOKUP(F180,设置!$B$2:$C$4,2,FALSE))</f>
        <v/>
      </c>
      <c r="H180">
        <f t="shared" si="2"/>
        <v>0</v>
      </c>
    </row>
    <row r="181" spans="7:8">
      <c r="G181" t="str">
        <f>IF(F181="","",VLOOKUP(F181,设置!$B$2:$C$4,2,FALSE))</f>
        <v/>
      </c>
      <c r="H181">
        <f t="shared" si="2"/>
        <v>0</v>
      </c>
    </row>
    <row r="182" spans="7:8">
      <c r="G182" t="str">
        <f>IF(F182="","",VLOOKUP(F182,设置!$B$2:$C$4,2,FALSE))</f>
        <v/>
      </c>
      <c r="H182">
        <f t="shared" si="2"/>
        <v>0</v>
      </c>
    </row>
    <row r="183" spans="7:8">
      <c r="G183" t="str">
        <f>IF(F183="","",VLOOKUP(F183,设置!$B$2:$C$4,2,FALSE))</f>
        <v/>
      </c>
      <c r="H183">
        <f t="shared" si="2"/>
        <v>0</v>
      </c>
    </row>
    <row r="184" spans="7:8">
      <c r="G184" t="str">
        <f>IF(F184="","",VLOOKUP(F184,设置!$B$2:$C$4,2,FALSE))</f>
        <v/>
      </c>
      <c r="H184">
        <f t="shared" si="2"/>
        <v>0</v>
      </c>
    </row>
    <row r="185" spans="7:8">
      <c r="G185" t="str">
        <f>IF(F185="","",VLOOKUP(F185,设置!$B$2:$C$4,2,FALSE))</f>
        <v/>
      </c>
      <c r="H185">
        <f t="shared" si="2"/>
        <v>0</v>
      </c>
    </row>
    <row r="186" spans="7:8">
      <c r="G186" t="str">
        <f>IF(F186="","",VLOOKUP(F186,设置!$B$2:$C$4,2,FALSE))</f>
        <v/>
      </c>
      <c r="H186">
        <f t="shared" si="2"/>
        <v>0</v>
      </c>
    </row>
    <row r="187" spans="7:8">
      <c r="G187" t="str">
        <f>IF(F187="","",VLOOKUP(F187,设置!$B$2:$C$4,2,FALSE))</f>
        <v/>
      </c>
      <c r="H187">
        <f t="shared" si="2"/>
        <v>0</v>
      </c>
    </row>
    <row r="188" spans="7:8">
      <c r="G188" t="str">
        <f>IF(F188="","",VLOOKUP(F188,设置!$B$2:$C$4,2,FALSE))</f>
        <v/>
      </c>
      <c r="H188">
        <f t="shared" si="2"/>
        <v>0</v>
      </c>
    </row>
    <row r="189" spans="7:8">
      <c r="G189" t="str">
        <f>IF(F189="","",VLOOKUP(F189,设置!$B$2:$C$4,2,FALSE))</f>
        <v/>
      </c>
      <c r="H189">
        <f t="shared" si="2"/>
        <v>0</v>
      </c>
    </row>
    <row r="190" spans="7:8">
      <c r="G190" t="str">
        <f>IF(F190="","",VLOOKUP(F190,设置!$B$2:$C$4,2,FALSE))</f>
        <v/>
      </c>
      <c r="H190">
        <f t="shared" si="2"/>
        <v>0</v>
      </c>
    </row>
    <row r="191" spans="7:8">
      <c r="G191" t="str">
        <f>IF(F191="","",VLOOKUP(F191,设置!$B$2:$C$4,2,FALSE))</f>
        <v/>
      </c>
      <c r="H191">
        <f t="shared" si="2"/>
        <v>0</v>
      </c>
    </row>
    <row r="192" spans="7:8">
      <c r="G192" t="str">
        <f>IF(F192="","",VLOOKUP(F192,设置!$B$2:$C$4,2,FALSE))</f>
        <v/>
      </c>
      <c r="H192">
        <f t="shared" si="2"/>
        <v>0</v>
      </c>
    </row>
    <row r="193" spans="7:8">
      <c r="G193" t="str">
        <f>IF(F193="","",VLOOKUP(F193,设置!$B$2:$C$4,2,FALSE))</f>
        <v/>
      </c>
      <c r="H193">
        <f t="shared" si="2"/>
        <v>0</v>
      </c>
    </row>
    <row r="194" spans="7:8">
      <c r="G194" t="str">
        <f>IF(F194="","",VLOOKUP(F194,设置!$B$2:$C$4,2,FALSE))</f>
        <v/>
      </c>
      <c r="H194">
        <f t="shared" ref="H194:H257" si="3">IF(E194="完成",G194,0)</f>
        <v>0</v>
      </c>
    </row>
    <row r="195" spans="7:8">
      <c r="G195" t="str">
        <f>IF(F195="","",VLOOKUP(F195,设置!$B$2:$C$4,2,FALSE))</f>
        <v/>
      </c>
      <c r="H195">
        <f t="shared" si="3"/>
        <v>0</v>
      </c>
    </row>
    <row r="196" spans="7:8">
      <c r="G196" t="str">
        <f>IF(F196="","",VLOOKUP(F196,设置!$B$2:$C$4,2,FALSE))</f>
        <v/>
      </c>
      <c r="H196">
        <f t="shared" si="3"/>
        <v>0</v>
      </c>
    </row>
    <row r="197" spans="7:8">
      <c r="G197" t="str">
        <f>IF(F197="","",VLOOKUP(F197,设置!$B$2:$C$4,2,FALSE))</f>
        <v/>
      </c>
      <c r="H197">
        <f t="shared" si="3"/>
        <v>0</v>
      </c>
    </row>
    <row r="198" spans="7:8">
      <c r="G198" t="str">
        <f>IF(F198="","",VLOOKUP(F198,设置!$B$2:$C$4,2,FALSE))</f>
        <v/>
      </c>
      <c r="H198">
        <f t="shared" si="3"/>
        <v>0</v>
      </c>
    </row>
    <row r="199" spans="7:8">
      <c r="G199" t="str">
        <f>IF(F199="","",VLOOKUP(F199,设置!$B$2:$C$4,2,FALSE))</f>
        <v/>
      </c>
      <c r="H199">
        <f t="shared" si="3"/>
        <v>0</v>
      </c>
    </row>
    <row r="200" spans="7:8">
      <c r="G200" t="str">
        <f>IF(F200="","",VLOOKUP(F200,设置!$B$2:$C$4,2,FALSE))</f>
        <v/>
      </c>
      <c r="H200">
        <f t="shared" si="3"/>
        <v>0</v>
      </c>
    </row>
    <row r="201" spans="7:8">
      <c r="G201" t="str">
        <f>IF(F201="","",VLOOKUP(F201,设置!$B$2:$C$4,2,FALSE))</f>
        <v/>
      </c>
      <c r="H201">
        <f t="shared" si="3"/>
        <v>0</v>
      </c>
    </row>
    <row r="202" spans="7:8">
      <c r="G202" t="str">
        <f>IF(F202="","",VLOOKUP(F202,设置!$B$2:$C$4,2,FALSE))</f>
        <v/>
      </c>
      <c r="H202">
        <f t="shared" si="3"/>
        <v>0</v>
      </c>
    </row>
    <row r="203" spans="7:8">
      <c r="G203" t="str">
        <f>IF(F203="","",VLOOKUP(F203,设置!$B$2:$C$4,2,FALSE))</f>
        <v/>
      </c>
      <c r="H203">
        <f t="shared" si="3"/>
        <v>0</v>
      </c>
    </row>
    <row r="204" spans="7:8">
      <c r="G204" t="str">
        <f>IF(F204="","",VLOOKUP(F204,设置!$B$2:$C$4,2,FALSE))</f>
        <v/>
      </c>
      <c r="H204">
        <f t="shared" si="3"/>
        <v>0</v>
      </c>
    </row>
    <row r="205" spans="7:8">
      <c r="G205" t="str">
        <f>IF(F205="","",VLOOKUP(F205,设置!$B$2:$C$4,2,FALSE))</f>
        <v/>
      </c>
      <c r="H205">
        <f t="shared" si="3"/>
        <v>0</v>
      </c>
    </row>
    <row r="206" spans="7:8">
      <c r="G206" t="str">
        <f>IF(F206="","",VLOOKUP(F206,设置!$B$2:$C$4,2,FALSE))</f>
        <v/>
      </c>
      <c r="H206">
        <f t="shared" si="3"/>
        <v>0</v>
      </c>
    </row>
    <row r="207" spans="7:8">
      <c r="G207" t="str">
        <f>IF(F207="","",VLOOKUP(F207,设置!$B$2:$C$4,2,FALSE))</f>
        <v/>
      </c>
      <c r="H207">
        <f t="shared" si="3"/>
        <v>0</v>
      </c>
    </row>
    <row r="208" spans="7:8">
      <c r="G208" t="str">
        <f>IF(F208="","",VLOOKUP(F208,设置!$B$2:$C$4,2,FALSE))</f>
        <v/>
      </c>
      <c r="H208">
        <f t="shared" si="3"/>
        <v>0</v>
      </c>
    </row>
    <row r="209" spans="7:8">
      <c r="G209" t="str">
        <f>IF(F209="","",VLOOKUP(F209,设置!$B$2:$C$4,2,FALSE))</f>
        <v/>
      </c>
      <c r="H209">
        <f t="shared" si="3"/>
        <v>0</v>
      </c>
    </row>
    <row r="210" spans="7:8">
      <c r="G210" t="str">
        <f>IF(F210="","",VLOOKUP(F210,设置!$B$2:$C$4,2,FALSE))</f>
        <v/>
      </c>
      <c r="H210">
        <f t="shared" si="3"/>
        <v>0</v>
      </c>
    </row>
    <row r="211" spans="7:8">
      <c r="G211" t="str">
        <f>IF(F211="","",VLOOKUP(F211,设置!$B$2:$C$4,2,FALSE))</f>
        <v/>
      </c>
      <c r="H211">
        <f t="shared" si="3"/>
        <v>0</v>
      </c>
    </row>
    <row r="212" spans="7:8">
      <c r="G212" t="str">
        <f>IF(F212="","",VLOOKUP(F212,设置!$B$2:$C$4,2,FALSE))</f>
        <v/>
      </c>
      <c r="H212">
        <f t="shared" si="3"/>
        <v>0</v>
      </c>
    </row>
    <row r="213" spans="7:8">
      <c r="G213" t="str">
        <f>IF(F213="","",VLOOKUP(F213,设置!$B$2:$C$4,2,FALSE))</f>
        <v/>
      </c>
      <c r="H213">
        <f t="shared" si="3"/>
        <v>0</v>
      </c>
    </row>
    <row r="214" spans="7:8">
      <c r="G214" t="str">
        <f>IF(F214="","",VLOOKUP(F214,设置!$B$2:$C$4,2,FALSE))</f>
        <v/>
      </c>
      <c r="H214">
        <f t="shared" si="3"/>
        <v>0</v>
      </c>
    </row>
    <row r="215" spans="7:8">
      <c r="G215" t="str">
        <f>IF(F215="","",VLOOKUP(F215,设置!$B$2:$C$4,2,FALSE))</f>
        <v/>
      </c>
      <c r="H215">
        <f t="shared" si="3"/>
        <v>0</v>
      </c>
    </row>
    <row r="216" spans="7:8">
      <c r="G216" t="str">
        <f>IF(F216="","",VLOOKUP(F216,设置!$B$2:$C$4,2,FALSE))</f>
        <v/>
      </c>
      <c r="H216">
        <f t="shared" si="3"/>
        <v>0</v>
      </c>
    </row>
    <row r="217" spans="7:8">
      <c r="G217" t="str">
        <f>IF(F217="","",VLOOKUP(F217,设置!$B$2:$C$4,2,FALSE))</f>
        <v/>
      </c>
      <c r="H217">
        <f t="shared" si="3"/>
        <v>0</v>
      </c>
    </row>
    <row r="218" spans="7:8">
      <c r="G218" t="str">
        <f>IF(F218="","",VLOOKUP(F218,设置!$B$2:$C$4,2,FALSE))</f>
        <v/>
      </c>
      <c r="H218">
        <f t="shared" si="3"/>
        <v>0</v>
      </c>
    </row>
    <row r="219" spans="7:8">
      <c r="G219" t="str">
        <f>IF(F219="","",VLOOKUP(F219,设置!$B$2:$C$4,2,FALSE))</f>
        <v/>
      </c>
      <c r="H219">
        <f t="shared" si="3"/>
        <v>0</v>
      </c>
    </row>
    <row r="220" spans="7:8">
      <c r="G220" t="str">
        <f>IF(F220="","",VLOOKUP(F220,设置!$B$2:$C$4,2,FALSE))</f>
        <v/>
      </c>
      <c r="H220">
        <f t="shared" si="3"/>
        <v>0</v>
      </c>
    </row>
    <row r="221" spans="7:8">
      <c r="G221" t="str">
        <f>IF(F221="","",VLOOKUP(F221,设置!$B$2:$C$4,2,FALSE))</f>
        <v/>
      </c>
      <c r="H221">
        <f t="shared" si="3"/>
        <v>0</v>
      </c>
    </row>
    <row r="222" spans="7:8">
      <c r="G222" t="str">
        <f>IF(F222="","",VLOOKUP(F222,设置!$B$2:$C$4,2,FALSE))</f>
        <v/>
      </c>
      <c r="H222">
        <f t="shared" si="3"/>
        <v>0</v>
      </c>
    </row>
    <row r="223" spans="7:8">
      <c r="G223" t="str">
        <f>IF(F223="","",VLOOKUP(F223,设置!$B$2:$C$4,2,FALSE))</f>
        <v/>
      </c>
      <c r="H223">
        <f t="shared" si="3"/>
        <v>0</v>
      </c>
    </row>
    <row r="224" spans="7:8">
      <c r="G224" t="str">
        <f>IF(F224="","",VLOOKUP(F224,设置!$B$2:$C$4,2,FALSE))</f>
        <v/>
      </c>
      <c r="H224">
        <f t="shared" si="3"/>
        <v>0</v>
      </c>
    </row>
    <row r="225" spans="7:8">
      <c r="G225" t="str">
        <f>IF(F225="","",VLOOKUP(F225,设置!$B$2:$C$4,2,FALSE))</f>
        <v/>
      </c>
      <c r="H225">
        <f t="shared" si="3"/>
        <v>0</v>
      </c>
    </row>
    <row r="226" spans="7:8">
      <c r="G226" t="str">
        <f>IF(F226="","",VLOOKUP(F226,设置!$B$2:$C$4,2,FALSE))</f>
        <v/>
      </c>
      <c r="H226">
        <f t="shared" si="3"/>
        <v>0</v>
      </c>
    </row>
    <row r="227" spans="7:8">
      <c r="G227" t="str">
        <f>IF(F227="","",VLOOKUP(F227,设置!$B$2:$C$4,2,FALSE))</f>
        <v/>
      </c>
      <c r="H227">
        <f t="shared" si="3"/>
        <v>0</v>
      </c>
    </row>
    <row r="228" spans="7:8">
      <c r="G228" t="str">
        <f>IF(F228="","",VLOOKUP(F228,设置!$B$2:$C$4,2,FALSE))</f>
        <v/>
      </c>
      <c r="H228">
        <f t="shared" si="3"/>
        <v>0</v>
      </c>
    </row>
    <row r="229" spans="7:8">
      <c r="G229" t="str">
        <f>IF(F229="","",VLOOKUP(F229,设置!$B$2:$C$4,2,FALSE))</f>
        <v/>
      </c>
      <c r="H229">
        <f t="shared" si="3"/>
        <v>0</v>
      </c>
    </row>
    <row r="230" spans="7:8">
      <c r="G230" t="str">
        <f>IF(F230="","",VLOOKUP(F230,设置!$B$2:$C$4,2,FALSE))</f>
        <v/>
      </c>
      <c r="H230">
        <f t="shared" si="3"/>
        <v>0</v>
      </c>
    </row>
    <row r="231" spans="7:8">
      <c r="G231" t="str">
        <f>IF(F231="","",VLOOKUP(F231,设置!$B$2:$C$4,2,FALSE))</f>
        <v/>
      </c>
      <c r="H231">
        <f t="shared" si="3"/>
        <v>0</v>
      </c>
    </row>
    <row r="232" spans="7:8">
      <c r="G232" t="str">
        <f>IF(F232="","",VLOOKUP(F232,设置!$B$2:$C$4,2,FALSE))</f>
        <v/>
      </c>
      <c r="H232">
        <f t="shared" si="3"/>
        <v>0</v>
      </c>
    </row>
    <row r="233" spans="7:8">
      <c r="G233" t="str">
        <f>IF(F233="","",VLOOKUP(F233,设置!$B$2:$C$4,2,FALSE))</f>
        <v/>
      </c>
      <c r="H233">
        <f t="shared" si="3"/>
        <v>0</v>
      </c>
    </row>
    <row r="234" spans="7:8">
      <c r="G234" t="str">
        <f>IF(F234="","",VLOOKUP(F234,设置!$B$2:$C$4,2,FALSE))</f>
        <v/>
      </c>
      <c r="H234">
        <f t="shared" si="3"/>
        <v>0</v>
      </c>
    </row>
    <row r="235" spans="7:8">
      <c r="G235" t="str">
        <f>IF(F235="","",VLOOKUP(F235,设置!$B$2:$C$4,2,FALSE))</f>
        <v/>
      </c>
      <c r="H235">
        <f t="shared" si="3"/>
        <v>0</v>
      </c>
    </row>
    <row r="236" spans="7:8">
      <c r="G236" t="str">
        <f>IF(F236="","",VLOOKUP(F236,设置!$B$2:$C$4,2,FALSE))</f>
        <v/>
      </c>
      <c r="H236">
        <f t="shared" si="3"/>
        <v>0</v>
      </c>
    </row>
    <row r="237" spans="7:8">
      <c r="G237" t="str">
        <f>IF(F237="","",VLOOKUP(F237,设置!$B$2:$C$4,2,FALSE))</f>
        <v/>
      </c>
      <c r="H237">
        <f t="shared" si="3"/>
        <v>0</v>
      </c>
    </row>
    <row r="238" spans="7:8">
      <c r="G238" t="str">
        <f>IF(F238="","",VLOOKUP(F238,设置!$B$2:$C$4,2,FALSE))</f>
        <v/>
      </c>
      <c r="H238">
        <f t="shared" si="3"/>
        <v>0</v>
      </c>
    </row>
    <row r="239" spans="7:8">
      <c r="G239" t="str">
        <f>IF(F239="","",VLOOKUP(F239,设置!$B$2:$C$4,2,FALSE))</f>
        <v/>
      </c>
      <c r="H239">
        <f t="shared" si="3"/>
        <v>0</v>
      </c>
    </row>
    <row r="240" spans="7:8">
      <c r="G240" t="str">
        <f>IF(F240="","",VLOOKUP(F240,设置!$B$2:$C$4,2,FALSE))</f>
        <v/>
      </c>
      <c r="H240">
        <f t="shared" si="3"/>
        <v>0</v>
      </c>
    </row>
    <row r="241" spans="7:8">
      <c r="G241" t="str">
        <f>IF(F241="","",VLOOKUP(F241,设置!$B$2:$C$4,2,FALSE))</f>
        <v/>
      </c>
      <c r="H241">
        <f t="shared" si="3"/>
        <v>0</v>
      </c>
    </row>
    <row r="242" spans="7:8">
      <c r="G242" t="str">
        <f>IF(F242="","",VLOOKUP(F242,设置!$B$2:$C$4,2,FALSE))</f>
        <v/>
      </c>
      <c r="H242">
        <f t="shared" si="3"/>
        <v>0</v>
      </c>
    </row>
    <row r="243" spans="7:8">
      <c r="G243" t="str">
        <f>IF(F243="","",VLOOKUP(F243,设置!$B$2:$C$4,2,FALSE))</f>
        <v/>
      </c>
      <c r="H243">
        <f t="shared" si="3"/>
        <v>0</v>
      </c>
    </row>
    <row r="244" spans="7:8">
      <c r="G244" t="str">
        <f>IF(F244="","",VLOOKUP(F244,设置!$B$2:$C$4,2,FALSE))</f>
        <v/>
      </c>
      <c r="H244">
        <f t="shared" si="3"/>
        <v>0</v>
      </c>
    </row>
    <row r="245" spans="7:8">
      <c r="G245" t="str">
        <f>IF(F245="","",VLOOKUP(F245,设置!$B$2:$C$4,2,FALSE))</f>
        <v/>
      </c>
      <c r="H245">
        <f t="shared" si="3"/>
        <v>0</v>
      </c>
    </row>
    <row r="246" spans="7:8">
      <c r="G246" t="str">
        <f>IF(F246="","",VLOOKUP(F246,设置!$B$2:$C$4,2,FALSE))</f>
        <v/>
      </c>
      <c r="H246">
        <f t="shared" si="3"/>
        <v>0</v>
      </c>
    </row>
    <row r="247" spans="7:8">
      <c r="G247" t="str">
        <f>IF(F247="","",VLOOKUP(F247,设置!$B$2:$C$4,2,FALSE))</f>
        <v/>
      </c>
      <c r="H247">
        <f t="shared" si="3"/>
        <v>0</v>
      </c>
    </row>
    <row r="248" spans="7:8">
      <c r="G248" t="str">
        <f>IF(F248="","",VLOOKUP(F248,设置!$B$2:$C$4,2,FALSE))</f>
        <v/>
      </c>
      <c r="H248">
        <f t="shared" si="3"/>
        <v>0</v>
      </c>
    </row>
    <row r="249" spans="7:8">
      <c r="G249" t="str">
        <f>IF(F249="","",VLOOKUP(F249,设置!$B$2:$C$4,2,FALSE))</f>
        <v/>
      </c>
      <c r="H249">
        <f t="shared" si="3"/>
        <v>0</v>
      </c>
    </row>
    <row r="250" spans="7:8">
      <c r="G250" t="str">
        <f>IF(F250="","",VLOOKUP(F250,设置!$B$2:$C$4,2,FALSE))</f>
        <v/>
      </c>
      <c r="H250">
        <f t="shared" si="3"/>
        <v>0</v>
      </c>
    </row>
    <row r="251" spans="7:8">
      <c r="G251" t="str">
        <f>IF(F251="","",VLOOKUP(F251,设置!$B$2:$C$4,2,FALSE))</f>
        <v/>
      </c>
      <c r="H251">
        <f t="shared" si="3"/>
        <v>0</v>
      </c>
    </row>
    <row r="252" spans="7:8">
      <c r="G252" t="str">
        <f>IF(F252="","",VLOOKUP(F252,设置!$B$2:$C$4,2,FALSE))</f>
        <v/>
      </c>
      <c r="H252">
        <f t="shared" si="3"/>
        <v>0</v>
      </c>
    </row>
    <row r="253" spans="7:8">
      <c r="G253" t="str">
        <f>IF(F253="","",VLOOKUP(F253,设置!$B$2:$C$4,2,FALSE))</f>
        <v/>
      </c>
      <c r="H253">
        <f t="shared" si="3"/>
        <v>0</v>
      </c>
    </row>
    <row r="254" spans="7:8">
      <c r="G254" t="str">
        <f>IF(F254="","",VLOOKUP(F254,设置!$B$2:$C$4,2,FALSE))</f>
        <v/>
      </c>
      <c r="H254">
        <f t="shared" si="3"/>
        <v>0</v>
      </c>
    </row>
    <row r="255" spans="7:8">
      <c r="G255" t="str">
        <f>IF(F255="","",VLOOKUP(F255,设置!$B$2:$C$4,2,FALSE))</f>
        <v/>
      </c>
      <c r="H255">
        <f t="shared" si="3"/>
        <v>0</v>
      </c>
    </row>
    <row r="256" spans="7:8">
      <c r="G256" t="str">
        <f>IF(F256="","",VLOOKUP(F256,设置!$B$2:$C$4,2,FALSE))</f>
        <v/>
      </c>
      <c r="H256">
        <f t="shared" si="3"/>
        <v>0</v>
      </c>
    </row>
    <row r="257" spans="7:8">
      <c r="G257" t="str">
        <f>IF(F257="","",VLOOKUP(F257,设置!$B$2:$C$4,2,FALSE))</f>
        <v/>
      </c>
      <c r="H257">
        <f t="shared" si="3"/>
        <v>0</v>
      </c>
    </row>
    <row r="258" spans="7:8">
      <c r="G258" t="str">
        <f>IF(F258="","",VLOOKUP(F258,设置!$B$2:$C$4,2,FALSE))</f>
        <v/>
      </c>
      <c r="H258">
        <f t="shared" ref="H258:H321" si="4">IF(E258="完成",G258,0)</f>
        <v>0</v>
      </c>
    </row>
    <row r="259" spans="7:8">
      <c r="G259" t="str">
        <f>IF(F259="","",VLOOKUP(F259,设置!$B$2:$C$4,2,FALSE))</f>
        <v/>
      </c>
      <c r="H259">
        <f t="shared" si="4"/>
        <v>0</v>
      </c>
    </row>
    <row r="260" spans="7:8">
      <c r="G260" t="str">
        <f>IF(F260="","",VLOOKUP(F260,设置!$B$2:$C$4,2,FALSE))</f>
        <v/>
      </c>
      <c r="H260">
        <f t="shared" si="4"/>
        <v>0</v>
      </c>
    </row>
    <row r="261" spans="7:8">
      <c r="G261" t="str">
        <f>IF(F261="","",VLOOKUP(F261,设置!$B$2:$C$4,2,FALSE))</f>
        <v/>
      </c>
      <c r="H261">
        <f t="shared" si="4"/>
        <v>0</v>
      </c>
    </row>
    <row r="262" spans="7:8">
      <c r="G262" t="str">
        <f>IF(F262="","",VLOOKUP(F262,设置!$B$2:$C$4,2,FALSE))</f>
        <v/>
      </c>
      <c r="H262">
        <f t="shared" si="4"/>
        <v>0</v>
      </c>
    </row>
    <row r="263" spans="7:8">
      <c r="G263" t="str">
        <f>IF(F263="","",VLOOKUP(F263,设置!$B$2:$C$4,2,FALSE))</f>
        <v/>
      </c>
      <c r="H263">
        <f t="shared" si="4"/>
        <v>0</v>
      </c>
    </row>
    <row r="264" spans="7:8">
      <c r="G264" t="str">
        <f>IF(F264="","",VLOOKUP(F264,设置!$B$2:$C$4,2,FALSE))</f>
        <v/>
      </c>
      <c r="H264">
        <f t="shared" si="4"/>
        <v>0</v>
      </c>
    </row>
    <row r="265" spans="7:8">
      <c r="G265" t="str">
        <f>IF(F265="","",VLOOKUP(F265,设置!$B$2:$C$4,2,FALSE))</f>
        <v/>
      </c>
      <c r="H265">
        <f t="shared" si="4"/>
        <v>0</v>
      </c>
    </row>
    <row r="266" spans="7:8">
      <c r="G266" t="str">
        <f>IF(F266="","",VLOOKUP(F266,设置!$B$2:$C$4,2,FALSE))</f>
        <v/>
      </c>
      <c r="H266">
        <f t="shared" si="4"/>
        <v>0</v>
      </c>
    </row>
    <row r="267" spans="7:8">
      <c r="G267" t="str">
        <f>IF(F267="","",VLOOKUP(F267,设置!$B$2:$C$4,2,FALSE))</f>
        <v/>
      </c>
      <c r="H267">
        <f t="shared" si="4"/>
        <v>0</v>
      </c>
    </row>
    <row r="268" spans="7:8">
      <c r="G268" t="str">
        <f>IF(F268="","",VLOOKUP(F268,设置!$B$2:$C$4,2,FALSE))</f>
        <v/>
      </c>
      <c r="H268">
        <f t="shared" si="4"/>
        <v>0</v>
      </c>
    </row>
    <row r="269" spans="7:8">
      <c r="G269" t="str">
        <f>IF(F269="","",VLOOKUP(F269,设置!$B$2:$C$4,2,FALSE))</f>
        <v/>
      </c>
      <c r="H269">
        <f t="shared" si="4"/>
        <v>0</v>
      </c>
    </row>
    <row r="270" spans="7:8">
      <c r="G270" t="str">
        <f>IF(F270="","",VLOOKUP(F270,设置!$B$2:$C$4,2,FALSE))</f>
        <v/>
      </c>
      <c r="H270">
        <f t="shared" si="4"/>
        <v>0</v>
      </c>
    </row>
    <row r="271" spans="7:8">
      <c r="G271" t="str">
        <f>IF(F271="","",VLOOKUP(F271,设置!$B$2:$C$4,2,FALSE))</f>
        <v/>
      </c>
      <c r="H271">
        <f t="shared" si="4"/>
        <v>0</v>
      </c>
    </row>
    <row r="272" spans="7:8">
      <c r="G272" t="str">
        <f>IF(F272="","",VLOOKUP(F272,设置!$B$2:$C$4,2,FALSE))</f>
        <v/>
      </c>
      <c r="H272">
        <f t="shared" si="4"/>
        <v>0</v>
      </c>
    </row>
    <row r="273" spans="7:8">
      <c r="G273" t="str">
        <f>IF(F273="","",VLOOKUP(F273,设置!$B$2:$C$4,2,FALSE))</f>
        <v/>
      </c>
      <c r="H273">
        <f t="shared" si="4"/>
        <v>0</v>
      </c>
    </row>
    <row r="274" spans="7:8">
      <c r="G274" t="str">
        <f>IF(F274="","",VLOOKUP(F274,设置!$B$2:$C$4,2,FALSE))</f>
        <v/>
      </c>
      <c r="H274">
        <f t="shared" si="4"/>
        <v>0</v>
      </c>
    </row>
    <row r="275" spans="7:8">
      <c r="G275" t="str">
        <f>IF(F275="","",VLOOKUP(F275,设置!$B$2:$C$4,2,FALSE))</f>
        <v/>
      </c>
      <c r="H275">
        <f t="shared" si="4"/>
        <v>0</v>
      </c>
    </row>
    <row r="276" spans="7:8">
      <c r="G276" t="str">
        <f>IF(F276="","",VLOOKUP(F276,设置!$B$2:$C$4,2,FALSE))</f>
        <v/>
      </c>
      <c r="H276">
        <f t="shared" si="4"/>
        <v>0</v>
      </c>
    </row>
    <row r="277" spans="7:8">
      <c r="G277" t="str">
        <f>IF(F277="","",VLOOKUP(F277,设置!$B$2:$C$4,2,FALSE))</f>
        <v/>
      </c>
      <c r="H277">
        <f t="shared" si="4"/>
        <v>0</v>
      </c>
    </row>
    <row r="278" spans="7:8">
      <c r="G278" t="str">
        <f>IF(F278="","",VLOOKUP(F278,设置!$B$2:$C$4,2,FALSE))</f>
        <v/>
      </c>
      <c r="H278">
        <f t="shared" si="4"/>
        <v>0</v>
      </c>
    </row>
    <row r="279" spans="7:8">
      <c r="G279" t="str">
        <f>IF(F279="","",VLOOKUP(F279,设置!$B$2:$C$4,2,FALSE))</f>
        <v/>
      </c>
      <c r="H279">
        <f t="shared" si="4"/>
        <v>0</v>
      </c>
    </row>
    <row r="280" spans="7:8">
      <c r="G280" t="str">
        <f>IF(F280="","",VLOOKUP(F280,设置!$B$2:$C$4,2,FALSE))</f>
        <v/>
      </c>
      <c r="H280">
        <f t="shared" si="4"/>
        <v>0</v>
      </c>
    </row>
    <row r="281" spans="7:8">
      <c r="G281" t="str">
        <f>IF(F281="","",VLOOKUP(F281,设置!$B$2:$C$4,2,FALSE))</f>
        <v/>
      </c>
      <c r="H281">
        <f t="shared" si="4"/>
        <v>0</v>
      </c>
    </row>
    <row r="282" spans="7:8">
      <c r="G282" t="str">
        <f>IF(F282="","",VLOOKUP(F282,设置!$B$2:$C$4,2,FALSE))</f>
        <v/>
      </c>
      <c r="H282">
        <f t="shared" si="4"/>
        <v>0</v>
      </c>
    </row>
    <row r="283" spans="7:8">
      <c r="G283" t="str">
        <f>IF(F283="","",VLOOKUP(F283,设置!$B$2:$C$4,2,FALSE))</f>
        <v/>
      </c>
      <c r="H283">
        <f t="shared" si="4"/>
        <v>0</v>
      </c>
    </row>
    <row r="284" spans="7:8">
      <c r="G284" t="str">
        <f>IF(F284="","",VLOOKUP(F284,设置!$B$2:$C$4,2,FALSE))</f>
        <v/>
      </c>
      <c r="H284">
        <f t="shared" si="4"/>
        <v>0</v>
      </c>
    </row>
    <row r="285" spans="7:8">
      <c r="G285" t="str">
        <f>IF(F285="","",VLOOKUP(F285,设置!$B$2:$C$4,2,FALSE))</f>
        <v/>
      </c>
      <c r="H285">
        <f t="shared" si="4"/>
        <v>0</v>
      </c>
    </row>
    <row r="286" spans="7:8">
      <c r="G286" t="str">
        <f>IF(F286="","",VLOOKUP(F286,设置!$B$2:$C$4,2,FALSE))</f>
        <v/>
      </c>
      <c r="H286">
        <f t="shared" si="4"/>
        <v>0</v>
      </c>
    </row>
    <row r="287" spans="7:8">
      <c r="G287" t="str">
        <f>IF(F287="","",VLOOKUP(F287,设置!$B$2:$C$4,2,FALSE))</f>
        <v/>
      </c>
      <c r="H287">
        <f t="shared" si="4"/>
        <v>0</v>
      </c>
    </row>
    <row r="288" spans="7:8">
      <c r="G288" t="str">
        <f>IF(F288="","",VLOOKUP(F288,设置!$B$2:$C$4,2,FALSE))</f>
        <v/>
      </c>
      <c r="H288">
        <f t="shared" si="4"/>
        <v>0</v>
      </c>
    </row>
    <row r="289" spans="7:8">
      <c r="G289" t="str">
        <f>IF(F289="","",VLOOKUP(F289,设置!$B$2:$C$4,2,FALSE))</f>
        <v/>
      </c>
      <c r="H289">
        <f t="shared" si="4"/>
        <v>0</v>
      </c>
    </row>
    <row r="290" spans="7:8">
      <c r="G290" t="str">
        <f>IF(F290="","",VLOOKUP(F290,设置!$B$2:$C$4,2,FALSE))</f>
        <v/>
      </c>
      <c r="H290">
        <f t="shared" si="4"/>
        <v>0</v>
      </c>
    </row>
    <row r="291" spans="7:8">
      <c r="G291" t="str">
        <f>IF(F291="","",VLOOKUP(F291,设置!$B$2:$C$4,2,FALSE))</f>
        <v/>
      </c>
      <c r="H291">
        <f t="shared" si="4"/>
        <v>0</v>
      </c>
    </row>
    <row r="292" spans="7:8">
      <c r="G292" t="str">
        <f>IF(F292="","",VLOOKUP(F292,设置!$B$2:$C$4,2,FALSE))</f>
        <v/>
      </c>
      <c r="H292">
        <f t="shared" si="4"/>
        <v>0</v>
      </c>
    </row>
    <row r="293" spans="7:8">
      <c r="G293" t="str">
        <f>IF(F293="","",VLOOKUP(F293,设置!$B$2:$C$4,2,FALSE))</f>
        <v/>
      </c>
      <c r="H293">
        <f t="shared" si="4"/>
        <v>0</v>
      </c>
    </row>
    <row r="294" spans="7:8">
      <c r="G294" t="str">
        <f>IF(F294="","",VLOOKUP(F294,设置!$B$2:$C$4,2,FALSE))</f>
        <v/>
      </c>
      <c r="H294">
        <f t="shared" si="4"/>
        <v>0</v>
      </c>
    </row>
    <row r="295" spans="7:8">
      <c r="G295" t="str">
        <f>IF(F295="","",VLOOKUP(F295,设置!$B$2:$C$4,2,FALSE))</f>
        <v/>
      </c>
      <c r="H295">
        <f t="shared" si="4"/>
        <v>0</v>
      </c>
    </row>
    <row r="296" spans="7:8">
      <c r="G296" t="str">
        <f>IF(F296="","",VLOOKUP(F296,设置!$B$2:$C$4,2,FALSE))</f>
        <v/>
      </c>
      <c r="H296">
        <f t="shared" si="4"/>
        <v>0</v>
      </c>
    </row>
    <row r="297" spans="7:8">
      <c r="G297" t="str">
        <f>IF(F297="","",VLOOKUP(F297,设置!$B$2:$C$4,2,FALSE))</f>
        <v/>
      </c>
      <c r="H297">
        <f t="shared" si="4"/>
        <v>0</v>
      </c>
    </row>
    <row r="298" spans="7:8">
      <c r="G298" t="str">
        <f>IF(F298="","",VLOOKUP(F298,设置!$B$2:$C$4,2,FALSE))</f>
        <v/>
      </c>
      <c r="H298">
        <f t="shared" si="4"/>
        <v>0</v>
      </c>
    </row>
    <row r="299" spans="7:8">
      <c r="G299" t="str">
        <f>IF(F299="","",VLOOKUP(F299,设置!$B$2:$C$4,2,FALSE))</f>
        <v/>
      </c>
      <c r="H299">
        <f t="shared" si="4"/>
        <v>0</v>
      </c>
    </row>
    <row r="300" spans="7:8">
      <c r="G300" t="str">
        <f>IF(F300="","",VLOOKUP(F300,设置!$B$2:$C$4,2,FALSE))</f>
        <v/>
      </c>
      <c r="H300">
        <f t="shared" si="4"/>
        <v>0</v>
      </c>
    </row>
    <row r="301" spans="7:8">
      <c r="G301" t="str">
        <f>IF(F301="","",VLOOKUP(F301,设置!$B$2:$C$4,2,FALSE))</f>
        <v/>
      </c>
      <c r="H301">
        <f t="shared" si="4"/>
        <v>0</v>
      </c>
    </row>
    <row r="302" spans="7:8">
      <c r="G302" t="str">
        <f>IF(F302="","",VLOOKUP(F302,设置!$B$2:$C$4,2,FALSE))</f>
        <v/>
      </c>
      <c r="H302">
        <f t="shared" si="4"/>
        <v>0</v>
      </c>
    </row>
    <row r="303" spans="7:8">
      <c r="G303" t="str">
        <f>IF(F303="","",VLOOKUP(F303,设置!$B$2:$C$4,2,FALSE))</f>
        <v/>
      </c>
      <c r="H303">
        <f t="shared" si="4"/>
        <v>0</v>
      </c>
    </row>
    <row r="304" spans="7:8">
      <c r="G304" t="str">
        <f>IF(F304="","",VLOOKUP(F304,设置!$B$2:$C$4,2,FALSE))</f>
        <v/>
      </c>
      <c r="H304">
        <f t="shared" si="4"/>
        <v>0</v>
      </c>
    </row>
    <row r="305" spans="7:8">
      <c r="G305" t="str">
        <f>IF(F305="","",VLOOKUP(F305,设置!$B$2:$C$4,2,FALSE))</f>
        <v/>
      </c>
      <c r="H305">
        <f t="shared" si="4"/>
        <v>0</v>
      </c>
    </row>
    <row r="306" spans="7:8">
      <c r="G306" t="str">
        <f>IF(F306="","",VLOOKUP(F306,设置!$B$2:$C$4,2,FALSE))</f>
        <v/>
      </c>
      <c r="H306">
        <f t="shared" si="4"/>
        <v>0</v>
      </c>
    </row>
    <row r="307" spans="7:8">
      <c r="G307" t="str">
        <f>IF(F307="","",VLOOKUP(F307,设置!$B$2:$C$4,2,FALSE))</f>
        <v/>
      </c>
      <c r="H307">
        <f t="shared" si="4"/>
        <v>0</v>
      </c>
    </row>
    <row r="308" spans="7:8">
      <c r="G308" t="str">
        <f>IF(F308="","",VLOOKUP(F308,设置!$B$2:$C$4,2,FALSE))</f>
        <v/>
      </c>
      <c r="H308">
        <f t="shared" si="4"/>
        <v>0</v>
      </c>
    </row>
    <row r="309" spans="7:8">
      <c r="G309" t="str">
        <f>IF(F309="","",VLOOKUP(F309,设置!$B$2:$C$4,2,FALSE))</f>
        <v/>
      </c>
      <c r="H309">
        <f t="shared" si="4"/>
        <v>0</v>
      </c>
    </row>
    <row r="310" spans="7:8">
      <c r="G310" t="str">
        <f>IF(F310="","",VLOOKUP(F310,设置!$B$2:$C$4,2,FALSE))</f>
        <v/>
      </c>
      <c r="H310">
        <f t="shared" si="4"/>
        <v>0</v>
      </c>
    </row>
    <row r="311" spans="7:8">
      <c r="G311" t="str">
        <f>IF(F311="","",VLOOKUP(F311,设置!$B$2:$C$4,2,FALSE))</f>
        <v/>
      </c>
      <c r="H311">
        <f t="shared" si="4"/>
        <v>0</v>
      </c>
    </row>
    <row r="312" spans="7:8">
      <c r="G312" t="str">
        <f>IF(F312="","",VLOOKUP(F312,设置!$B$2:$C$4,2,FALSE))</f>
        <v/>
      </c>
      <c r="H312">
        <f t="shared" si="4"/>
        <v>0</v>
      </c>
    </row>
    <row r="313" spans="7:8">
      <c r="G313" t="str">
        <f>IF(F313="","",VLOOKUP(F313,设置!$B$2:$C$4,2,FALSE))</f>
        <v/>
      </c>
      <c r="H313">
        <f t="shared" si="4"/>
        <v>0</v>
      </c>
    </row>
    <row r="314" spans="7:8">
      <c r="G314" t="str">
        <f>IF(F314="","",VLOOKUP(F314,设置!$B$2:$C$4,2,FALSE))</f>
        <v/>
      </c>
      <c r="H314">
        <f t="shared" si="4"/>
        <v>0</v>
      </c>
    </row>
    <row r="315" spans="7:8">
      <c r="G315" t="str">
        <f>IF(F315="","",VLOOKUP(F315,设置!$B$2:$C$4,2,FALSE))</f>
        <v/>
      </c>
      <c r="H315">
        <f t="shared" si="4"/>
        <v>0</v>
      </c>
    </row>
    <row r="316" spans="7:8">
      <c r="G316" t="str">
        <f>IF(F316="","",VLOOKUP(F316,设置!$B$2:$C$4,2,FALSE))</f>
        <v/>
      </c>
      <c r="H316">
        <f t="shared" si="4"/>
        <v>0</v>
      </c>
    </row>
    <row r="317" spans="7:8">
      <c r="G317" t="str">
        <f>IF(F317="","",VLOOKUP(F317,设置!$B$2:$C$4,2,FALSE))</f>
        <v/>
      </c>
      <c r="H317">
        <f t="shared" si="4"/>
        <v>0</v>
      </c>
    </row>
    <row r="318" spans="7:8">
      <c r="G318" t="str">
        <f>IF(F318="","",VLOOKUP(F318,设置!$B$2:$C$4,2,FALSE))</f>
        <v/>
      </c>
      <c r="H318">
        <f t="shared" si="4"/>
        <v>0</v>
      </c>
    </row>
    <row r="319" spans="7:8">
      <c r="G319" t="str">
        <f>IF(F319="","",VLOOKUP(F319,设置!$B$2:$C$4,2,FALSE))</f>
        <v/>
      </c>
      <c r="H319">
        <f t="shared" si="4"/>
        <v>0</v>
      </c>
    </row>
    <row r="320" spans="7:8">
      <c r="G320" t="str">
        <f>IF(F320="","",VLOOKUP(F320,设置!$B$2:$C$4,2,FALSE))</f>
        <v/>
      </c>
      <c r="H320">
        <f t="shared" si="4"/>
        <v>0</v>
      </c>
    </row>
    <row r="321" spans="7:8">
      <c r="G321" t="str">
        <f>IF(F321="","",VLOOKUP(F321,设置!$B$2:$C$4,2,FALSE))</f>
        <v/>
      </c>
      <c r="H321">
        <f t="shared" si="4"/>
        <v>0</v>
      </c>
    </row>
    <row r="322" spans="7:8">
      <c r="G322" t="str">
        <f>IF(F322="","",VLOOKUP(F322,设置!$B$2:$C$4,2,FALSE))</f>
        <v/>
      </c>
      <c r="H322">
        <f t="shared" ref="H322:H385" si="5">IF(E322="完成",G322,0)</f>
        <v>0</v>
      </c>
    </row>
    <row r="323" spans="7:8">
      <c r="G323" t="str">
        <f>IF(F323="","",VLOOKUP(F323,设置!$B$2:$C$4,2,FALSE))</f>
        <v/>
      </c>
      <c r="H323">
        <f t="shared" si="5"/>
        <v>0</v>
      </c>
    </row>
    <row r="324" spans="7:8">
      <c r="G324" t="str">
        <f>IF(F324="","",VLOOKUP(F324,设置!$B$2:$C$4,2,FALSE))</f>
        <v/>
      </c>
      <c r="H324">
        <f t="shared" si="5"/>
        <v>0</v>
      </c>
    </row>
    <row r="325" spans="7:8">
      <c r="G325" t="str">
        <f>IF(F325="","",VLOOKUP(F325,设置!$B$2:$C$4,2,FALSE))</f>
        <v/>
      </c>
      <c r="H325">
        <f t="shared" si="5"/>
        <v>0</v>
      </c>
    </row>
    <row r="326" spans="7:8">
      <c r="G326" t="str">
        <f>IF(F326="","",VLOOKUP(F326,设置!$B$2:$C$4,2,FALSE))</f>
        <v/>
      </c>
      <c r="H326">
        <f t="shared" si="5"/>
        <v>0</v>
      </c>
    </row>
    <row r="327" spans="7:8">
      <c r="G327" t="str">
        <f>IF(F327="","",VLOOKUP(F327,设置!$B$2:$C$4,2,FALSE))</f>
        <v/>
      </c>
      <c r="H327">
        <f t="shared" si="5"/>
        <v>0</v>
      </c>
    </row>
    <row r="328" spans="7:8">
      <c r="G328" t="str">
        <f>IF(F328="","",VLOOKUP(F328,设置!$B$2:$C$4,2,FALSE))</f>
        <v/>
      </c>
      <c r="H328">
        <f t="shared" si="5"/>
        <v>0</v>
      </c>
    </row>
    <row r="329" spans="7:8">
      <c r="G329" t="str">
        <f>IF(F329="","",VLOOKUP(F329,设置!$B$2:$C$4,2,FALSE))</f>
        <v/>
      </c>
      <c r="H329">
        <f t="shared" si="5"/>
        <v>0</v>
      </c>
    </row>
    <row r="330" spans="7:8">
      <c r="G330" t="str">
        <f>IF(F330="","",VLOOKUP(F330,设置!$B$2:$C$4,2,FALSE))</f>
        <v/>
      </c>
      <c r="H330">
        <f t="shared" si="5"/>
        <v>0</v>
      </c>
    </row>
    <row r="331" spans="7:8">
      <c r="G331" t="str">
        <f>IF(F331="","",VLOOKUP(F331,设置!$B$2:$C$4,2,FALSE))</f>
        <v/>
      </c>
      <c r="H331">
        <f t="shared" si="5"/>
        <v>0</v>
      </c>
    </row>
    <row r="332" spans="7:8">
      <c r="G332" t="str">
        <f>IF(F332="","",VLOOKUP(F332,设置!$B$2:$C$4,2,FALSE))</f>
        <v/>
      </c>
      <c r="H332">
        <f t="shared" si="5"/>
        <v>0</v>
      </c>
    </row>
    <row r="333" spans="7:8">
      <c r="G333" t="str">
        <f>IF(F333="","",VLOOKUP(F333,设置!$B$2:$C$4,2,FALSE))</f>
        <v/>
      </c>
      <c r="H333">
        <f t="shared" si="5"/>
        <v>0</v>
      </c>
    </row>
    <row r="334" spans="7:8">
      <c r="G334" t="str">
        <f>IF(F334="","",VLOOKUP(F334,设置!$B$2:$C$4,2,FALSE))</f>
        <v/>
      </c>
      <c r="H334">
        <f t="shared" si="5"/>
        <v>0</v>
      </c>
    </row>
    <row r="335" spans="7:8">
      <c r="G335" t="str">
        <f>IF(F335="","",VLOOKUP(F335,设置!$B$2:$C$4,2,FALSE))</f>
        <v/>
      </c>
      <c r="H335">
        <f t="shared" si="5"/>
        <v>0</v>
      </c>
    </row>
    <row r="336" spans="7:8">
      <c r="G336" t="str">
        <f>IF(F336="","",VLOOKUP(F336,设置!$B$2:$C$4,2,FALSE))</f>
        <v/>
      </c>
      <c r="H336">
        <f t="shared" si="5"/>
        <v>0</v>
      </c>
    </row>
    <row r="337" spans="7:8">
      <c r="G337" t="str">
        <f>IF(F337="","",VLOOKUP(F337,设置!$B$2:$C$4,2,FALSE))</f>
        <v/>
      </c>
      <c r="H337">
        <f t="shared" si="5"/>
        <v>0</v>
      </c>
    </row>
    <row r="338" spans="7:8">
      <c r="G338" t="str">
        <f>IF(F338="","",VLOOKUP(F338,设置!$B$2:$C$4,2,FALSE))</f>
        <v/>
      </c>
      <c r="H338">
        <f t="shared" si="5"/>
        <v>0</v>
      </c>
    </row>
    <row r="339" spans="7:8">
      <c r="G339" t="str">
        <f>IF(F339="","",VLOOKUP(F339,设置!$B$2:$C$4,2,FALSE))</f>
        <v/>
      </c>
      <c r="H339">
        <f t="shared" si="5"/>
        <v>0</v>
      </c>
    </row>
    <row r="340" spans="7:8">
      <c r="G340" t="str">
        <f>IF(F340="","",VLOOKUP(F340,设置!$B$2:$C$4,2,FALSE))</f>
        <v/>
      </c>
      <c r="H340">
        <f t="shared" si="5"/>
        <v>0</v>
      </c>
    </row>
    <row r="341" spans="7:8">
      <c r="G341" t="str">
        <f>IF(F341="","",VLOOKUP(F341,设置!$B$2:$C$4,2,FALSE))</f>
        <v/>
      </c>
      <c r="H341">
        <f t="shared" si="5"/>
        <v>0</v>
      </c>
    </row>
    <row r="342" spans="7:8">
      <c r="G342" t="str">
        <f>IF(F342="","",VLOOKUP(F342,设置!$B$2:$C$4,2,FALSE))</f>
        <v/>
      </c>
      <c r="H342">
        <f t="shared" si="5"/>
        <v>0</v>
      </c>
    </row>
    <row r="343" spans="7:8">
      <c r="G343" t="str">
        <f>IF(F343="","",VLOOKUP(F343,设置!$B$2:$C$4,2,FALSE))</f>
        <v/>
      </c>
      <c r="H343">
        <f t="shared" si="5"/>
        <v>0</v>
      </c>
    </row>
    <row r="344" spans="7:8">
      <c r="G344" t="str">
        <f>IF(F344="","",VLOOKUP(F344,设置!$B$2:$C$4,2,FALSE))</f>
        <v/>
      </c>
      <c r="H344">
        <f t="shared" si="5"/>
        <v>0</v>
      </c>
    </row>
    <row r="345" spans="7:8">
      <c r="G345" t="str">
        <f>IF(F345="","",VLOOKUP(F345,设置!$B$2:$C$4,2,FALSE))</f>
        <v/>
      </c>
      <c r="H345">
        <f t="shared" si="5"/>
        <v>0</v>
      </c>
    </row>
    <row r="346" spans="7:8">
      <c r="G346" t="str">
        <f>IF(F346="","",VLOOKUP(F346,设置!$B$2:$C$4,2,FALSE))</f>
        <v/>
      </c>
      <c r="H346">
        <f t="shared" si="5"/>
        <v>0</v>
      </c>
    </row>
    <row r="347" spans="7:8">
      <c r="G347" t="str">
        <f>IF(F347="","",VLOOKUP(F347,设置!$B$2:$C$4,2,FALSE))</f>
        <v/>
      </c>
      <c r="H347">
        <f t="shared" si="5"/>
        <v>0</v>
      </c>
    </row>
    <row r="348" spans="7:8">
      <c r="G348" t="str">
        <f>IF(F348="","",VLOOKUP(F348,设置!$B$2:$C$4,2,FALSE))</f>
        <v/>
      </c>
      <c r="H348">
        <f t="shared" si="5"/>
        <v>0</v>
      </c>
    </row>
    <row r="349" spans="7:8">
      <c r="G349" t="str">
        <f>IF(F349="","",VLOOKUP(F349,设置!$B$2:$C$4,2,FALSE))</f>
        <v/>
      </c>
      <c r="H349">
        <f t="shared" si="5"/>
        <v>0</v>
      </c>
    </row>
    <row r="350" spans="7:8">
      <c r="G350" t="str">
        <f>IF(F350="","",VLOOKUP(F350,设置!$B$2:$C$4,2,FALSE))</f>
        <v/>
      </c>
      <c r="H350">
        <f t="shared" si="5"/>
        <v>0</v>
      </c>
    </row>
    <row r="351" spans="7:8">
      <c r="G351" t="str">
        <f>IF(F351="","",VLOOKUP(F351,设置!$B$2:$C$4,2,FALSE))</f>
        <v/>
      </c>
      <c r="H351">
        <f t="shared" si="5"/>
        <v>0</v>
      </c>
    </row>
    <row r="352" spans="7:8">
      <c r="G352" t="str">
        <f>IF(F352="","",VLOOKUP(F352,设置!$B$2:$C$4,2,FALSE))</f>
        <v/>
      </c>
      <c r="H352">
        <f t="shared" si="5"/>
        <v>0</v>
      </c>
    </row>
    <row r="353" spans="7:8">
      <c r="G353" t="str">
        <f>IF(F353="","",VLOOKUP(F353,设置!$B$2:$C$4,2,FALSE))</f>
        <v/>
      </c>
      <c r="H353">
        <f t="shared" si="5"/>
        <v>0</v>
      </c>
    </row>
    <row r="354" spans="7:8">
      <c r="G354" t="str">
        <f>IF(F354="","",VLOOKUP(F354,设置!$B$2:$C$4,2,FALSE))</f>
        <v/>
      </c>
      <c r="H354">
        <f t="shared" si="5"/>
        <v>0</v>
      </c>
    </row>
    <row r="355" spans="7:8">
      <c r="G355" t="str">
        <f>IF(F355="","",VLOOKUP(F355,设置!$B$2:$C$4,2,FALSE))</f>
        <v/>
      </c>
      <c r="H355">
        <f t="shared" si="5"/>
        <v>0</v>
      </c>
    </row>
    <row r="356" spans="7:8">
      <c r="G356" t="str">
        <f>IF(F356="","",VLOOKUP(F356,设置!$B$2:$C$4,2,FALSE))</f>
        <v/>
      </c>
      <c r="H356">
        <f t="shared" si="5"/>
        <v>0</v>
      </c>
    </row>
    <row r="357" spans="7:8">
      <c r="G357" t="str">
        <f>IF(F357="","",VLOOKUP(F357,设置!$B$2:$C$4,2,FALSE))</f>
        <v/>
      </c>
      <c r="H357">
        <f t="shared" si="5"/>
        <v>0</v>
      </c>
    </row>
    <row r="358" spans="7:8">
      <c r="G358" t="str">
        <f>IF(F358="","",VLOOKUP(F358,设置!$B$2:$C$4,2,FALSE))</f>
        <v/>
      </c>
      <c r="H358">
        <f t="shared" si="5"/>
        <v>0</v>
      </c>
    </row>
    <row r="359" spans="7:8">
      <c r="G359" t="str">
        <f>IF(F359="","",VLOOKUP(F359,设置!$B$2:$C$4,2,FALSE))</f>
        <v/>
      </c>
      <c r="H359">
        <f t="shared" si="5"/>
        <v>0</v>
      </c>
    </row>
    <row r="360" spans="7:8">
      <c r="G360" t="str">
        <f>IF(F360="","",VLOOKUP(F360,设置!$B$2:$C$4,2,FALSE))</f>
        <v/>
      </c>
      <c r="H360">
        <f t="shared" si="5"/>
        <v>0</v>
      </c>
    </row>
    <row r="361" spans="7:8">
      <c r="G361" t="str">
        <f>IF(F361="","",VLOOKUP(F361,设置!$B$2:$C$4,2,FALSE))</f>
        <v/>
      </c>
      <c r="H361">
        <f t="shared" si="5"/>
        <v>0</v>
      </c>
    </row>
    <row r="362" spans="7:8">
      <c r="G362" t="str">
        <f>IF(F362="","",VLOOKUP(F362,设置!$B$2:$C$4,2,FALSE))</f>
        <v/>
      </c>
      <c r="H362">
        <f t="shared" si="5"/>
        <v>0</v>
      </c>
    </row>
    <row r="363" spans="7:8">
      <c r="G363" t="str">
        <f>IF(F363="","",VLOOKUP(F363,设置!$B$2:$C$4,2,FALSE))</f>
        <v/>
      </c>
      <c r="H363">
        <f t="shared" si="5"/>
        <v>0</v>
      </c>
    </row>
    <row r="364" spans="7:8">
      <c r="G364" t="str">
        <f>IF(F364="","",VLOOKUP(F364,设置!$B$2:$C$4,2,FALSE))</f>
        <v/>
      </c>
      <c r="H364">
        <f t="shared" si="5"/>
        <v>0</v>
      </c>
    </row>
    <row r="365" spans="7:8">
      <c r="G365" t="str">
        <f>IF(F365="","",VLOOKUP(F365,设置!$B$2:$C$4,2,FALSE))</f>
        <v/>
      </c>
      <c r="H365">
        <f t="shared" si="5"/>
        <v>0</v>
      </c>
    </row>
    <row r="366" spans="7:8">
      <c r="G366" t="str">
        <f>IF(F366="","",VLOOKUP(F366,设置!$B$2:$C$4,2,FALSE))</f>
        <v/>
      </c>
      <c r="H366">
        <f t="shared" si="5"/>
        <v>0</v>
      </c>
    </row>
    <row r="367" spans="7:8">
      <c r="G367" t="str">
        <f>IF(F367="","",VLOOKUP(F367,设置!$B$2:$C$4,2,FALSE))</f>
        <v/>
      </c>
      <c r="H367">
        <f t="shared" si="5"/>
        <v>0</v>
      </c>
    </row>
    <row r="368" spans="7:8">
      <c r="G368" t="str">
        <f>IF(F368="","",VLOOKUP(F368,设置!$B$2:$C$4,2,FALSE))</f>
        <v/>
      </c>
      <c r="H368">
        <f t="shared" si="5"/>
        <v>0</v>
      </c>
    </row>
    <row r="369" spans="7:8">
      <c r="G369" t="str">
        <f>IF(F369="","",VLOOKUP(F369,设置!$B$2:$C$4,2,FALSE))</f>
        <v/>
      </c>
      <c r="H369">
        <f t="shared" si="5"/>
        <v>0</v>
      </c>
    </row>
    <row r="370" spans="7:8">
      <c r="G370" t="str">
        <f>IF(F370="","",VLOOKUP(F370,设置!$B$2:$C$4,2,FALSE))</f>
        <v/>
      </c>
      <c r="H370">
        <f t="shared" si="5"/>
        <v>0</v>
      </c>
    </row>
    <row r="371" spans="7:8">
      <c r="G371" t="str">
        <f>IF(F371="","",VLOOKUP(F371,设置!$B$2:$C$4,2,FALSE))</f>
        <v/>
      </c>
      <c r="H371">
        <f t="shared" si="5"/>
        <v>0</v>
      </c>
    </row>
    <row r="372" spans="7:8">
      <c r="G372" t="str">
        <f>IF(F372="","",VLOOKUP(F372,设置!$B$2:$C$4,2,FALSE))</f>
        <v/>
      </c>
      <c r="H372">
        <f t="shared" si="5"/>
        <v>0</v>
      </c>
    </row>
    <row r="373" spans="7:8">
      <c r="G373" t="str">
        <f>IF(F373="","",VLOOKUP(F373,设置!$B$2:$C$4,2,FALSE))</f>
        <v/>
      </c>
      <c r="H373">
        <f t="shared" si="5"/>
        <v>0</v>
      </c>
    </row>
    <row r="374" spans="7:8">
      <c r="G374" t="str">
        <f>IF(F374="","",VLOOKUP(F374,设置!$B$2:$C$4,2,FALSE))</f>
        <v/>
      </c>
      <c r="H374">
        <f t="shared" si="5"/>
        <v>0</v>
      </c>
    </row>
    <row r="375" spans="7:8">
      <c r="G375" t="str">
        <f>IF(F375="","",VLOOKUP(F375,设置!$B$2:$C$4,2,FALSE))</f>
        <v/>
      </c>
      <c r="H375">
        <f t="shared" si="5"/>
        <v>0</v>
      </c>
    </row>
    <row r="376" spans="7:8">
      <c r="G376" t="str">
        <f>IF(F376="","",VLOOKUP(F376,设置!$B$2:$C$4,2,FALSE))</f>
        <v/>
      </c>
      <c r="H376">
        <f t="shared" si="5"/>
        <v>0</v>
      </c>
    </row>
    <row r="377" spans="7:8">
      <c r="G377" t="str">
        <f>IF(F377="","",VLOOKUP(F377,设置!$B$2:$C$4,2,FALSE))</f>
        <v/>
      </c>
      <c r="H377">
        <f t="shared" si="5"/>
        <v>0</v>
      </c>
    </row>
    <row r="378" spans="7:8">
      <c r="G378" t="str">
        <f>IF(F378="","",VLOOKUP(F378,设置!$B$2:$C$4,2,FALSE))</f>
        <v/>
      </c>
      <c r="H378">
        <f t="shared" si="5"/>
        <v>0</v>
      </c>
    </row>
    <row r="379" spans="7:8">
      <c r="G379" t="str">
        <f>IF(F379="","",VLOOKUP(F379,设置!$B$2:$C$4,2,FALSE))</f>
        <v/>
      </c>
      <c r="H379">
        <f t="shared" si="5"/>
        <v>0</v>
      </c>
    </row>
    <row r="380" spans="7:8">
      <c r="G380" t="str">
        <f>IF(F380="","",VLOOKUP(F380,设置!$B$2:$C$4,2,FALSE))</f>
        <v/>
      </c>
      <c r="H380">
        <f t="shared" si="5"/>
        <v>0</v>
      </c>
    </row>
    <row r="381" spans="7:8">
      <c r="G381" t="str">
        <f>IF(F381="","",VLOOKUP(F381,设置!$B$2:$C$4,2,FALSE))</f>
        <v/>
      </c>
      <c r="H381">
        <f t="shared" si="5"/>
        <v>0</v>
      </c>
    </row>
    <row r="382" spans="7:8">
      <c r="G382" t="str">
        <f>IF(F382="","",VLOOKUP(F382,设置!$B$2:$C$4,2,FALSE))</f>
        <v/>
      </c>
      <c r="H382">
        <f t="shared" si="5"/>
        <v>0</v>
      </c>
    </row>
    <row r="383" spans="7:8">
      <c r="G383" t="str">
        <f>IF(F383="","",VLOOKUP(F383,设置!$B$2:$C$4,2,FALSE))</f>
        <v/>
      </c>
      <c r="H383">
        <f t="shared" si="5"/>
        <v>0</v>
      </c>
    </row>
    <row r="384" spans="7:8">
      <c r="G384" t="str">
        <f>IF(F384="","",VLOOKUP(F384,设置!$B$2:$C$4,2,FALSE))</f>
        <v/>
      </c>
      <c r="H384">
        <f t="shared" si="5"/>
        <v>0</v>
      </c>
    </row>
    <row r="385" spans="7:8">
      <c r="G385" t="str">
        <f>IF(F385="","",VLOOKUP(F385,设置!$B$2:$C$4,2,FALSE))</f>
        <v/>
      </c>
      <c r="H385">
        <f t="shared" si="5"/>
        <v>0</v>
      </c>
    </row>
    <row r="386" spans="7:8">
      <c r="G386" t="str">
        <f>IF(F386="","",VLOOKUP(F386,设置!$B$2:$C$4,2,FALSE))</f>
        <v/>
      </c>
      <c r="H386">
        <f t="shared" ref="H386:H449" si="6">IF(E386="完成",G386,0)</f>
        <v>0</v>
      </c>
    </row>
    <row r="387" spans="7:8">
      <c r="G387" t="str">
        <f>IF(F387="","",VLOOKUP(F387,设置!$B$2:$C$4,2,FALSE))</f>
        <v/>
      </c>
      <c r="H387">
        <f t="shared" si="6"/>
        <v>0</v>
      </c>
    </row>
    <row r="388" spans="7:8">
      <c r="G388" t="str">
        <f>IF(F388="","",VLOOKUP(F388,设置!$B$2:$C$4,2,FALSE))</f>
        <v/>
      </c>
      <c r="H388">
        <f t="shared" si="6"/>
        <v>0</v>
      </c>
    </row>
    <row r="389" spans="7:8">
      <c r="G389" t="str">
        <f>IF(F389="","",VLOOKUP(F389,设置!$B$2:$C$4,2,FALSE))</f>
        <v/>
      </c>
      <c r="H389">
        <f t="shared" si="6"/>
        <v>0</v>
      </c>
    </row>
    <row r="390" spans="7:8">
      <c r="G390" t="str">
        <f>IF(F390="","",VLOOKUP(F390,设置!$B$2:$C$4,2,FALSE))</f>
        <v/>
      </c>
      <c r="H390">
        <f t="shared" si="6"/>
        <v>0</v>
      </c>
    </row>
    <row r="391" spans="7:8">
      <c r="G391" t="str">
        <f>IF(F391="","",VLOOKUP(F391,设置!$B$2:$C$4,2,FALSE))</f>
        <v/>
      </c>
      <c r="H391">
        <f t="shared" si="6"/>
        <v>0</v>
      </c>
    </row>
    <row r="392" spans="7:8">
      <c r="G392" t="str">
        <f>IF(F392="","",VLOOKUP(F392,设置!$B$2:$C$4,2,FALSE))</f>
        <v/>
      </c>
      <c r="H392">
        <f t="shared" si="6"/>
        <v>0</v>
      </c>
    </row>
    <row r="393" spans="7:8">
      <c r="G393" t="str">
        <f>IF(F393="","",VLOOKUP(F393,设置!$B$2:$C$4,2,FALSE))</f>
        <v/>
      </c>
      <c r="H393">
        <f t="shared" si="6"/>
        <v>0</v>
      </c>
    </row>
    <row r="394" spans="7:8">
      <c r="G394" t="str">
        <f>IF(F394="","",VLOOKUP(F394,设置!$B$2:$C$4,2,FALSE))</f>
        <v/>
      </c>
      <c r="H394">
        <f t="shared" si="6"/>
        <v>0</v>
      </c>
    </row>
    <row r="395" spans="7:8">
      <c r="G395" t="str">
        <f>IF(F395="","",VLOOKUP(F395,设置!$B$2:$C$4,2,FALSE))</f>
        <v/>
      </c>
      <c r="H395">
        <f t="shared" si="6"/>
        <v>0</v>
      </c>
    </row>
    <row r="396" spans="7:8">
      <c r="G396" t="str">
        <f>IF(F396="","",VLOOKUP(F396,设置!$B$2:$C$4,2,FALSE))</f>
        <v/>
      </c>
      <c r="H396">
        <f t="shared" si="6"/>
        <v>0</v>
      </c>
    </row>
    <row r="397" spans="7:8">
      <c r="G397" t="str">
        <f>IF(F397="","",VLOOKUP(F397,设置!$B$2:$C$4,2,FALSE))</f>
        <v/>
      </c>
      <c r="H397">
        <f t="shared" si="6"/>
        <v>0</v>
      </c>
    </row>
    <row r="398" spans="7:8">
      <c r="G398" t="str">
        <f>IF(F398="","",VLOOKUP(F398,设置!$B$2:$C$4,2,FALSE))</f>
        <v/>
      </c>
      <c r="H398">
        <f t="shared" si="6"/>
        <v>0</v>
      </c>
    </row>
    <row r="399" spans="7:8">
      <c r="G399" t="str">
        <f>IF(F399="","",VLOOKUP(F399,设置!$B$2:$C$4,2,FALSE))</f>
        <v/>
      </c>
      <c r="H399">
        <f t="shared" si="6"/>
        <v>0</v>
      </c>
    </row>
    <row r="400" spans="7:8">
      <c r="G400" t="str">
        <f>IF(F400="","",VLOOKUP(F400,设置!$B$2:$C$4,2,FALSE))</f>
        <v/>
      </c>
      <c r="H400">
        <f t="shared" si="6"/>
        <v>0</v>
      </c>
    </row>
    <row r="401" spans="7:8">
      <c r="G401" t="str">
        <f>IF(F401="","",VLOOKUP(F401,设置!$B$2:$C$4,2,FALSE))</f>
        <v/>
      </c>
      <c r="H401">
        <f t="shared" si="6"/>
        <v>0</v>
      </c>
    </row>
    <row r="402" spans="7:8">
      <c r="G402" t="str">
        <f>IF(F402="","",VLOOKUP(F402,设置!$B$2:$C$4,2,FALSE))</f>
        <v/>
      </c>
      <c r="H402">
        <f t="shared" si="6"/>
        <v>0</v>
      </c>
    </row>
    <row r="403" spans="7:8">
      <c r="G403" t="str">
        <f>IF(F403="","",VLOOKUP(F403,设置!$B$2:$C$4,2,FALSE))</f>
        <v/>
      </c>
      <c r="H403">
        <f t="shared" si="6"/>
        <v>0</v>
      </c>
    </row>
    <row r="404" spans="7:8">
      <c r="G404" t="str">
        <f>IF(F404="","",VLOOKUP(F404,设置!$B$2:$C$4,2,FALSE))</f>
        <v/>
      </c>
      <c r="H404">
        <f t="shared" si="6"/>
        <v>0</v>
      </c>
    </row>
    <row r="405" spans="7:8">
      <c r="G405" t="str">
        <f>IF(F405="","",VLOOKUP(F405,设置!$B$2:$C$4,2,FALSE))</f>
        <v/>
      </c>
      <c r="H405">
        <f t="shared" si="6"/>
        <v>0</v>
      </c>
    </row>
    <row r="406" spans="7:8">
      <c r="G406" t="str">
        <f>IF(F406="","",VLOOKUP(F406,设置!$B$2:$C$4,2,FALSE))</f>
        <v/>
      </c>
      <c r="H406">
        <f t="shared" si="6"/>
        <v>0</v>
      </c>
    </row>
    <row r="407" spans="7:8">
      <c r="G407" t="str">
        <f>IF(F407="","",VLOOKUP(F407,设置!$B$2:$C$4,2,FALSE))</f>
        <v/>
      </c>
      <c r="H407">
        <f t="shared" si="6"/>
        <v>0</v>
      </c>
    </row>
    <row r="408" spans="7:8">
      <c r="G408" t="str">
        <f>IF(F408="","",VLOOKUP(F408,设置!$B$2:$C$4,2,FALSE))</f>
        <v/>
      </c>
      <c r="H408">
        <f t="shared" si="6"/>
        <v>0</v>
      </c>
    </row>
    <row r="409" spans="7:8">
      <c r="G409" t="str">
        <f>IF(F409="","",VLOOKUP(F409,设置!$B$2:$C$4,2,FALSE))</f>
        <v/>
      </c>
      <c r="H409">
        <f t="shared" si="6"/>
        <v>0</v>
      </c>
    </row>
    <row r="410" spans="7:8">
      <c r="G410" t="str">
        <f>IF(F410="","",VLOOKUP(F410,设置!$B$2:$C$4,2,FALSE))</f>
        <v/>
      </c>
      <c r="H410">
        <f t="shared" si="6"/>
        <v>0</v>
      </c>
    </row>
    <row r="411" spans="7:8">
      <c r="G411" t="str">
        <f>IF(F411="","",VLOOKUP(F411,设置!$B$2:$C$4,2,FALSE))</f>
        <v/>
      </c>
      <c r="H411">
        <f t="shared" si="6"/>
        <v>0</v>
      </c>
    </row>
    <row r="412" spans="7:8">
      <c r="G412" t="str">
        <f>IF(F412="","",VLOOKUP(F412,设置!$B$2:$C$4,2,FALSE))</f>
        <v/>
      </c>
      <c r="H412">
        <f t="shared" si="6"/>
        <v>0</v>
      </c>
    </row>
    <row r="413" spans="7:8">
      <c r="G413" t="str">
        <f>IF(F413="","",VLOOKUP(F413,设置!$B$2:$C$4,2,FALSE))</f>
        <v/>
      </c>
      <c r="H413">
        <f t="shared" si="6"/>
        <v>0</v>
      </c>
    </row>
    <row r="414" spans="7:8">
      <c r="G414" t="str">
        <f>IF(F414="","",VLOOKUP(F414,设置!$B$2:$C$4,2,FALSE))</f>
        <v/>
      </c>
      <c r="H414">
        <f t="shared" si="6"/>
        <v>0</v>
      </c>
    </row>
    <row r="415" spans="7:8">
      <c r="G415" t="str">
        <f>IF(F415="","",VLOOKUP(F415,设置!$B$2:$C$4,2,FALSE))</f>
        <v/>
      </c>
      <c r="H415">
        <f t="shared" si="6"/>
        <v>0</v>
      </c>
    </row>
    <row r="416" spans="7:8">
      <c r="G416" t="str">
        <f>IF(F416="","",VLOOKUP(F416,设置!$B$2:$C$4,2,FALSE))</f>
        <v/>
      </c>
      <c r="H416">
        <f t="shared" si="6"/>
        <v>0</v>
      </c>
    </row>
    <row r="417" spans="7:8">
      <c r="G417" t="str">
        <f>IF(F417="","",VLOOKUP(F417,设置!$B$2:$C$4,2,FALSE))</f>
        <v/>
      </c>
      <c r="H417">
        <f t="shared" si="6"/>
        <v>0</v>
      </c>
    </row>
    <row r="418" spans="7:8">
      <c r="G418" t="str">
        <f>IF(F418="","",VLOOKUP(F418,设置!$B$2:$C$4,2,FALSE))</f>
        <v/>
      </c>
      <c r="H418">
        <f t="shared" si="6"/>
        <v>0</v>
      </c>
    </row>
    <row r="419" spans="7:8">
      <c r="G419" t="str">
        <f>IF(F419="","",VLOOKUP(F419,设置!$B$2:$C$4,2,FALSE))</f>
        <v/>
      </c>
      <c r="H419">
        <f t="shared" si="6"/>
        <v>0</v>
      </c>
    </row>
    <row r="420" spans="7:8">
      <c r="G420" t="str">
        <f>IF(F420="","",VLOOKUP(F420,设置!$B$2:$C$4,2,FALSE))</f>
        <v/>
      </c>
      <c r="H420">
        <f t="shared" si="6"/>
        <v>0</v>
      </c>
    </row>
    <row r="421" spans="7:8">
      <c r="G421" t="str">
        <f>IF(F421="","",VLOOKUP(F421,设置!$B$2:$C$4,2,FALSE))</f>
        <v/>
      </c>
      <c r="H421">
        <f t="shared" si="6"/>
        <v>0</v>
      </c>
    </row>
    <row r="422" spans="7:8">
      <c r="G422" t="str">
        <f>IF(F422="","",VLOOKUP(F422,设置!$B$2:$C$4,2,FALSE))</f>
        <v/>
      </c>
      <c r="H422">
        <f t="shared" si="6"/>
        <v>0</v>
      </c>
    </row>
    <row r="423" spans="7:8">
      <c r="G423" t="str">
        <f>IF(F423="","",VLOOKUP(F423,设置!$B$2:$C$4,2,FALSE))</f>
        <v/>
      </c>
      <c r="H423">
        <f t="shared" si="6"/>
        <v>0</v>
      </c>
    </row>
    <row r="424" spans="7:8">
      <c r="G424" t="str">
        <f>IF(F424="","",VLOOKUP(F424,设置!$B$2:$C$4,2,FALSE))</f>
        <v/>
      </c>
      <c r="H424">
        <f t="shared" si="6"/>
        <v>0</v>
      </c>
    </row>
    <row r="425" spans="7:8">
      <c r="G425" t="str">
        <f>IF(F425="","",VLOOKUP(F425,设置!$B$2:$C$4,2,FALSE))</f>
        <v/>
      </c>
      <c r="H425">
        <f t="shared" si="6"/>
        <v>0</v>
      </c>
    </row>
    <row r="426" spans="7:8">
      <c r="G426" t="str">
        <f>IF(F426="","",VLOOKUP(F426,设置!$B$2:$C$4,2,FALSE))</f>
        <v/>
      </c>
      <c r="H426">
        <f t="shared" si="6"/>
        <v>0</v>
      </c>
    </row>
    <row r="427" spans="7:8">
      <c r="G427" t="str">
        <f>IF(F427="","",VLOOKUP(F427,设置!$B$2:$C$4,2,FALSE))</f>
        <v/>
      </c>
      <c r="H427">
        <f t="shared" si="6"/>
        <v>0</v>
      </c>
    </row>
    <row r="428" spans="7:8">
      <c r="G428" t="str">
        <f>IF(F428="","",VLOOKUP(F428,设置!$B$2:$C$4,2,FALSE))</f>
        <v/>
      </c>
      <c r="H428">
        <f t="shared" si="6"/>
        <v>0</v>
      </c>
    </row>
    <row r="429" spans="7:8">
      <c r="G429" t="str">
        <f>IF(F429="","",VLOOKUP(F429,设置!$B$2:$C$4,2,FALSE))</f>
        <v/>
      </c>
      <c r="H429">
        <f t="shared" si="6"/>
        <v>0</v>
      </c>
    </row>
    <row r="430" spans="7:8">
      <c r="G430" t="str">
        <f>IF(F430="","",VLOOKUP(F430,设置!$B$2:$C$4,2,FALSE))</f>
        <v/>
      </c>
      <c r="H430">
        <f t="shared" si="6"/>
        <v>0</v>
      </c>
    </row>
    <row r="431" spans="7:8">
      <c r="G431" t="str">
        <f>IF(F431="","",VLOOKUP(F431,设置!$B$2:$C$4,2,FALSE))</f>
        <v/>
      </c>
      <c r="H431">
        <f t="shared" si="6"/>
        <v>0</v>
      </c>
    </row>
    <row r="432" spans="7:8">
      <c r="G432" t="str">
        <f>IF(F432="","",VLOOKUP(F432,设置!$B$2:$C$4,2,FALSE))</f>
        <v/>
      </c>
      <c r="H432">
        <f t="shared" si="6"/>
        <v>0</v>
      </c>
    </row>
    <row r="433" spans="7:8">
      <c r="G433" t="str">
        <f>IF(F433="","",VLOOKUP(F433,设置!$B$2:$C$4,2,FALSE))</f>
        <v/>
      </c>
      <c r="H433">
        <f t="shared" si="6"/>
        <v>0</v>
      </c>
    </row>
    <row r="434" spans="7:8">
      <c r="G434" t="str">
        <f>IF(F434="","",VLOOKUP(F434,设置!$B$2:$C$4,2,FALSE))</f>
        <v/>
      </c>
      <c r="H434">
        <f t="shared" si="6"/>
        <v>0</v>
      </c>
    </row>
    <row r="435" spans="7:8">
      <c r="G435" t="str">
        <f>IF(F435="","",VLOOKUP(F435,设置!$B$2:$C$4,2,FALSE))</f>
        <v/>
      </c>
      <c r="H435">
        <f t="shared" si="6"/>
        <v>0</v>
      </c>
    </row>
    <row r="436" spans="7:8">
      <c r="G436" t="str">
        <f>IF(F436="","",VLOOKUP(F436,设置!$B$2:$C$4,2,FALSE))</f>
        <v/>
      </c>
      <c r="H436">
        <f t="shared" si="6"/>
        <v>0</v>
      </c>
    </row>
    <row r="437" spans="7:8">
      <c r="G437" t="str">
        <f>IF(F437="","",VLOOKUP(F437,设置!$B$2:$C$4,2,FALSE))</f>
        <v/>
      </c>
      <c r="H437">
        <f t="shared" si="6"/>
        <v>0</v>
      </c>
    </row>
    <row r="438" spans="7:8">
      <c r="G438" t="str">
        <f>IF(F438="","",VLOOKUP(F438,设置!$B$2:$C$4,2,FALSE))</f>
        <v/>
      </c>
      <c r="H438">
        <f t="shared" si="6"/>
        <v>0</v>
      </c>
    </row>
    <row r="439" spans="7:8">
      <c r="G439" t="str">
        <f>IF(F439="","",VLOOKUP(F439,设置!$B$2:$C$4,2,FALSE))</f>
        <v/>
      </c>
      <c r="H439">
        <f t="shared" si="6"/>
        <v>0</v>
      </c>
    </row>
    <row r="440" spans="7:8">
      <c r="G440" t="str">
        <f>IF(F440="","",VLOOKUP(F440,设置!$B$2:$C$4,2,FALSE))</f>
        <v/>
      </c>
      <c r="H440">
        <f t="shared" si="6"/>
        <v>0</v>
      </c>
    </row>
    <row r="441" spans="7:8">
      <c r="G441" t="str">
        <f>IF(F441="","",VLOOKUP(F441,设置!$B$2:$C$4,2,FALSE))</f>
        <v/>
      </c>
      <c r="H441">
        <f t="shared" si="6"/>
        <v>0</v>
      </c>
    </row>
    <row r="442" spans="7:8">
      <c r="G442" t="str">
        <f>IF(F442="","",VLOOKUP(F442,设置!$B$2:$C$4,2,FALSE))</f>
        <v/>
      </c>
      <c r="H442">
        <f t="shared" si="6"/>
        <v>0</v>
      </c>
    </row>
    <row r="443" spans="7:8">
      <c r="G443" t="str">
        <f>IF(F443="","",VLOOKUP(F443,设置!$B$2:$C$4,2,FALSE))</f>
        <v/>
      </c>
      <c r="H443">
        <f t="shared" si="6"/>
        <v>0</v>
      </c>
    </row>
    <row r="444" spans="7:8">
      <c r="G444" t="str">
        <f>IF(F444="","",VLOOKUP(F444,设置!$B$2:$C$4,2,FALSE))</f>
        <v/>
      </c>
      <c r="H444">
        <f t="shared" si="6"/>
        <v>0</v>
      </c>
    </row>
    <row r="445" spans="7:8">
      <c r="G445" t="str">
        <f>IF(F445="","",VLOOKUP(F445,设置!$B$2:$C$4,2,FALSE))</f>
        <v/>
      </c>
      <c r="H445">
        <f t="shared" si="6"/>
        <v>0</v>
      </c>
    </row>
    <row r="446" spans="7:8">
      <c r="G446" t="str">
        <f>IF(F446="","",VLOOKUP(F446,设置!$B$2:$C$4,2,FALSE))</f>
        <v/>
      </c>
      <c r="H446">
        <f t="shared" si="6"/>
        <v>0</v>
      </c>
    </row>
    <row r="447" spans="7:8">
      <c r="G447" t="str">
        <f>IF(F447="","",VLOOKUP(F447,设置!$B$2:$C$4,2,FALSE))</f>
        <v/>
      </c>
      <c r="H447">
        <f t="shared" si="6"/>
        <v>0</v>
      </c>
    </row>
    <row r="448" spans="7:8">
      <c r="G448" t="str">
        <f>IF(F448="","",VLOOKUP(F448,设置!$B$2:$C$4,2,FALSE))</f>
        <v/>
      </c>
      <c r="H448">
        <f t="shared" si="6"/>
        <v>0</v>
      </c>
    </row>
    <row r="449" spans="7:8">
      <c r="G449" t="str">
        <f>IF(F449="","",VLOOKUP(F449,设置!$B$2:$C$4,2,FALSE))</f>
        <v/>
      </c>
      <c r="H449">
        <f t="shared" si="6"/>
        <v>0</v>
      </c>
    </row>
    <row r="450" spans="7:8">
      <c r="G450" t="str">
        <f>IF(F450="","",VLOOKUP(F450,设置!$B$2:$C$4,2,FALSE))</f>
        <v/>
      </c>
      <c r="H450">
        <f t="shared" ref="H450:H513" si="7">IF(E450="完成",G450,0)</f>
        <v>0</v>
      </c>
    </row>
    <row r="451" spans="7:8">
      <c r="G451" t="str">
        <f>IF(F451="","",VLOOKUP(F451,设置!$B$2:$C$4,2,FALSE))</f>
        <v/>
      </c>
      <c r="H451">
        <f t="shared" si="7"/>
        <v>0</v>
      </c>
    </row>
    <row r="452" spans="7:8">
      <c r="G452" t="str">
        <f>IF(F452="","",VLOOKUP(F452,设置!$B$2:$C$4,2,FALSE))</f>
        <v/>
      </c>
      <c r="H452">
        <f t="shared" si="7"/>
        <v>0</v>
      </c>
    </row>
    <row r="453" spans="7:8">
      <c r="G453" t="str">
        <f>IF(F453="","",VLOOKUP(F453,设置!$B$2:$C$4,2,FALSE))</f>
        <v/>
      </c>
      <c r="H453">
        <f t="shared" si="7"/>
        <v>0</v>
      </c>
    </row>
    <row r="454" spans="7:8">
      <c r="G454" t="str">
        <f>IF(F454="","",VLOOKUP(F454,设置!$B$2:$C$4,2,FALSE))</f>
        <v/>
      </c>
      <c r="H454">
        <f t="shared" si="7"/>
        <v>0</v>
      </c>
    </row>
    <row r="455" spans="7:8">
      <c r="G455" t="str">
        <f>IF(F455="","",VLOOKUP(F455,设置!$B$2:$C$4,2,FALSE))</f>
        <v/>
      </c>
      <c r="H455">
        <f t="shared" si="7"/>
        <v>0</v>
      </c>
    </row>
    <row r="456" spans="7:8">
      <c r="G456" t="str">
        <f>IF(F456="","",VLOOKUP(F456,设置!$B$2:$C$4,2,FALSE))</f>
        <v/>
      </c>
      <c r="H456">
        <f t="shared" si="7"/>
        <v>0</v>
      </c>
    </row>
    <row r="457" spans="7:8">
      <c r="G457" t="str">
        <f>IF(F457="","",VLOOKUP(F457,设置!$B$2:$C$4,2,FALSE))</f>
        <v/>
      </c>
      <c r="H457">
        <f t="shared" si="7"/>
        <v>0</v>
      </c>
    </row>
    <row r="458" spans="7:8">
      <c r="G458" t="str">
        <f>IF(F458="","",VLOOKUP(F458,设置!$B$2:$C$4,2,FALSE))</f>
        <v/>
      </c>
      <c r="H458">
        <f t="shared" si="7"/>
        <v>0</v>
      </c>
    </row>
    <row r="459" spans="7:8">
      <c r="G459" t="str">
        <f>IF(F459="","",VLOOKUP(F459,设置!$B$2:$C$4,2,FALSE))</f>
        <v/>
      </c>
      <c r="H459">
        <f t="shared" si="7"/>
        <v>0</v>
      </c>
    </row>
    <row r="460" spans="7:8">
      <c r="G460" t="str">
        <f>IF(F460="","",VLOOKUP(F460,设置!$B$2:$C$4,2,FALSE))</f>
        <v/>
      </c>
      <c r="H460">
        <f t="shared" si="7"/>
        <v>0</v>
      </c>
    </row>
    <row r="461" spans="7:8">
      <c r="G461" t="str">
        <f>IF(F461="","",VLOOKUP(F461,设置!$B$2:$C$4,2,FALSE))</f>
        <v/>
      </c>
      <c r="H461">
        <f t="shared" si="7"/>
        <v>0</v>
      </c>
    </row>
    <row r="462" spans="7:8">
      <c r="G462" t="str">
        <f>IF(F462="","",VLOOKUP(F462,设置!$B$2:$C$4,2,FALSE))</f>
        <v/>
      </c>
      <c r="H462">
        <f t="shared" si="7"/>
        <v>0</v>
      </c>
    </row>
    <row r="463" spans="7:8">
      <c r="G463" t="str">
        <f>IF(F463="","",VLOOKUP(F463,设置!$B$2:$C$4,2,FALSE))</f>
        <v/>
      </c>
      <c r="H463">
        <f t="shared" si="7"/>
        <v>0</v>
      </c>
    </row>
    <row r="464" spans="7:8">
      <c r="G464" t="str">
        <f>IF(F464="","",VLOOKUP(F464,设置!$B$2:$C$4,2,FALSE))</f>
        <v/>
      </c>
      <c r="H464">
        <f t="shared" si="7"/>
        <v>0</v>
      </c>
    </row>
    <row r="465" spans="7:8">
      <c r="G465" t="str">
        <f>IF(F465="","",VLOOKUP(F465,设置!$B$2:$C$4,2,FALSE))</f>
        <v/>
      </c>
      <c r="H465">
        <f t="shared" si="7"/>
        <v>0</v>
      </c>
    </row>
    <row r="466" spans="7:8">
      <c r="G466" t="str">
        <f>IF(F466="","",VLOOKUP(F466,设置!$B$2:$C$4,2,FALSE))</f>
        <v/>
      </c>
      <c r="H466">
        <f t="shared" si="7"/>
        <v>0</v>
      </c>
    </row>
    <row r="467" spans="7:8">
      <c r="G467" t="str">
        <f>IF(F467="","",VLOOKUP(F467,设置!$B$2:$C$4,2,FALSE))</f>
        <v/>
      </c>
      <c r="H467">
        <f t="shared" si="7"/>
        <v>0</v>
      </c>
    </row>
    <row r="468" spans="7:8">
      <c r="G468" t="str">
        <f>IF(F468="","",VLOOKUP(F468,设置!$B$2:$C$4,2,FALSE))</f>
        <v/>
      </c>
      <c r="H468">
        <f t="shared" si="7"/>
        <v>0</v>
      </c>
    </row>
    <row r="469" spans="7:8">
      <c r="G469" t="str">
        <f>IF(F469="","",VLOOKUP(F469,设置!$B$2:$C$4,2,FALSE))</f>
        <v/>
      </c>
      <c r="H469">
        <f t="shared" si="7"/>
        <v>0</v>
      </c>
    </row>
    <row r="470" spans="7:8">
      <c r="G470" t="str">
        <f>IF(F470="","",VLOOKUP(F470,设置!$B$2:$C$4,2,FALSE))</f>
        <v/>
      </c>
      <c r="H470">
        <f t="shared" si="7"/>
        <v>0</v>
      </c>
    </row>
    <row r="471" spans="7:8">
      <c r="G471" t="str">
        <f>IF(F471="","",VLOOKUP(F471,设置!$B$2:$C$4,2,FALSE))</f>
        <v/>
      </c>
      <c r="H471">
        <f t="shared" si="7"/>
        <v>0</v>
      </c>
    </row>
    <row r="472" spans="7:8">
      <c r="G472" t="str">
        <f>IF(F472="","",VLOOKUP(F472,设置!$B$2:$C$4,2,FALSE))</f>
        <v/>
      </c>
      <c r="H472">
        <f t="shared" si="7"/>
        <v>0</v>
      </c>
    </row>
    <row r="473" spans="7:8">
      <c r="G473" t="str">
        <f>IF(F473="","",VLOOKUP(F473,设置!$B$2:$C$4,2,FALSE))</f>
        <v/>
      </c>
      <c r="H473">
        <f t="shared" si="7"/>
        <v>0</v>
      </c>
    </row>
    <row r="474" spans="7:8">
      <c r="G474" t="str">
        <f>IF(F474="","",VLOOKUP(F474,设置!$B$2:$C$4,2,FALSE))</f>
        <v/>
      </c>
      <c r="H474">
        <f t="shared" si="7"/>
        <v>0</v>
      </c>
    </row>
    <row r="475" spans="7:8">
      <c r="G475" t="str">
        <f>IF(F475="","",VLOOKUP(F475,设置!$B$2:$C$4,2,FALSE))</f>
        <v/>
      </c>
      <c r="H475">
        <f t="shared" si="7"/>
        <v>0</v>
      </c>
    </row>
    <row r="476" spans="7:8">
      <c r="G476" t="str">
        <f>IF(F476="","",VLOOKUP(F476,设置!$B$2:$C$4,2,FALSE))</f>
        <v/>
      </c>
      <c r="H476">
        <f t="shared" si="7"/>
        <v>0</v>
      </c>
    </row>
    <row r="477" spans="7:8">
      <c r="G477" t="str">
        <f>IF(F477="","",VLOOKUP(F477,设置!$B$2:$C$4,2,FALSE))</f>
        <v/>
      </c>
      <c r="H477">
        <f t="shared" si="7"/>
        <v>0</v>
      </c>
    </row>
    <row r="478" spans="7:8">
      <c r="G478" t="str">
        <f>IF(F478="","",VLOOKUP(F478,设置!$B$2:$C$4,2,FALSE))</f>
        <v/>
      </c>
      <c r="H478">
        <f t="shared" si="7"/>
        <v>0</v>
      </c>
    </row>
    <row r="479" spans="7:8">
      <c r="G479" t="str">
        <f>IF(F479="","",VLOOKUP(F479,设置!$B$2:$C$4,2,FALSE))</f>
        <v/>
      </c>
      <c r="H479">
        <f t="shared" si="7"/>
        <v>0</v>
      </c>
    </row>
    <row r="480" spans="7:8">
      <c r="G480" t="str">
        <f>IF(F480="","",VLOOKUP(F480,设置!$B$2:$C$4,2,FALSE))</f>
        <v/>
      </c>
      <c r="H480">
        <f t="shared" si="7"/>
        <v>0</v>
      </c>
    </row>
    <row r="481" spans="7:8">
      <c r="G481" t="str">
        <f>IF(F481="","",VLOOKUP(F481,设置!$B$2:$C$4,2,FALSE))</f>
        <v/>
      </c>
      <c r="H481">
        <f t="shared" si="7"/>
        <v>0</v>
      </c>
    </row>
    <row r="482" spans="7:8">
      <c r="G482" t="str">
        <f>IF(F482="","",VLOOKUP(F482,设置!$B$2:$C$4,2,FALSE))</f>
        <v/>
      </c>
      <c r="H482">
        <f t="shared" si="7"/>
        <v>0</v>
      </c>
    </row>
    <row r="483" spans="7:8">
      <c r="G483" t="str">
        <f>IF(F483="","",VLOOKUP(F483,设置!$B$2:$C$4,2,FALSE))</f>
        <v/>
      </c>
      <c r="H483">
        <f t="shared" si="7"/>
        <v>0</v>
      </c>
    </row>
    <row r="484" spans="7:8">
      <c r="G484" t="str">
        <f>IF(F484="","",VLOOKUP(F484,设置!$B$2:$C$4,2,FALSE))</f>
        <v/>
      </c>
      <c r="H484">
        <f t="shared" si="7"/>
        <v>0</v>
      </c>
    </row>
    <row r="485" spans="7:8">
      <c r="G485" t="str">
        <f>IF(F485="","",VLOOKUP(F485,设置!$B$2:$C$4,2,FALSE))</f>
        <v/>
      </c>
      <c r="H485">
        <f t="shared" si="7"/>
        <v>0</v>
      </c>
    </row>
    <row r="486" spans="7:8">
      <c r="G486" t="str">
        <f>IF(F486="","",VLOOKUP(F486,设置!$B$2:$C$4,2,FALSE))</f>
        <v/>
      </c>
      <c r="H486">
        <f t="shared" si="7"/>
        <v>0</v>
      </c>
    </row>
    <row r="487" spans="7:8">
      <c r="G487" t="str">
        <f>IF(F487="","",VLOOKUP(F487,设置!$B$2:$C$4,2,FALSE))</f>
        <v/>
      </c>
      <c r="H487">
        <f t="shared" si="7"/>
        <v>0</v>
      </c>
    </row>
    <row r="488" spans="7:8">
      <c r="G488" t="str">
        <f>IF(F488="","",VLOOKUP(F488,设置!$B$2:$C$4,2,FALSE))</f>
        <v/>
      </c>
      <c r="H488">
        <f t="shared" si="7"/>
        <v>0</v>
      </c>
    </row>
    <row r="489" spans="7:8">
      <c r="G489" t="str">
        <f>IF(F489="","",VLOOKUP(F489,设置!$B$2:$C$4,2,FALSE))</f>
        <v/>
      </c>
      <c r="H489">
        <f t="shared" si="7"/>
        <v>0</v>
      </c>
    </row>
    <row r="490" spans="7:8">
      <c r="G490" t="str">
        <f>IF(F490="","",VLOOKUP(F490,设置!$B$2:$C$4,2,FALSE))</f>
        <v/>
      </c>
      <c r="H490">
        <f t="shared" si="7"/>
        <v>0</v>
      </c>
    </row>
    <row r="491" spans="7:8">
      <c r="G491" t="str">
        <f>IF(F491="","",VLOOKUP(F491,设置!$B$2:$C$4,2,FALSE))</f>
        <v/>
      </c>
      <c r="H491">
        <f t="shared" si="7"/>
        <v>0</v>
      </c>
    </row>
    <row r="492" spans="7:8">
      <c r="G492" t="str">
        <f>IF(F492="","",VLOOKUP(F492,设置!$B$2:$C$4,2,FALSE))</f>
        <v/>
      </c>
      <c r="H492">
        <f t="shared" si="7"/>
        <v>0</v>
      </c>
    </row>
    <row r="493" spans="7:8">
      <c r="G493" t="str">
        <f>IF(F493="","",VLOOKUP(F493,设置!$B$2:$C$4,2,FALSE))</f>
        <v/>
      </c>
      <c r="H493">
        <f t="shared" si="7"/>
        <v>0</v>
      </c>
    </row>
    <row r="494" spans="7:8">
      <c r="G494" t="str">
        <f>IF(F494="","",VLOOKUP(F494,设置!$B$2:$C$4,2,FALSE))</f>
        <v/>
      </c>
      <c r="H494">
        <f t="shared" si="7"/>
        <v>0</v>
      </c>
    </row>
    <row r="495" spans="7:8">
      <c r="G495" t="str">
        <f>IF(F495="","",VLOOKUP(F495,设置!$B$2:$C$4,2,FALSE))</f>
        <v/>
      </c>
      <c r="H495">
        <f t="shared" si="7"/>
        <v>0</v>
      </c>
    </row>
    <row r="496" spans="7:8">
      <c r="G496" t="str">
        <f>IF(F496="","",VLOOKUP(F496,设置!$B$2:$C$4,2,FALSE))</f>
        <v/>
      </c>
      <c r="H496">
        <f t="shared" si="7"/>
        <v>0</v>
      </c>
    </row>
    <row r="497" spans="7:8">
      <c r="G497" t="str">
        <f>IF(F497="","",VLOOKUP(F497,设置!$B$2:$C$4,2,FALSE))</f>
        <v/>
      </c>
      <c r="H497">
        <f t="shared" si="7"/>
        <v>0</v>
      </c>
    </row>
    <row r="498" spans="7:8">
      <c r="G498" t="str">
        <f>IF(F498="","",VLOOKUP(F498,设置!$B$2:$C$4,2,FALSE))</f>
        <v/>
      </c>
      <c r="H498">
        <f t="shared" si="7"/>
        <v>0</v>
      </c>
    </row>
    <row r="499" spans="7:8">
      <c r="G499" t="str">
        <f>IF(F499="","",VLOOKUP(F499,设置!$B$2:$C$4,2,FALSE))</f>
        <v/>
      </c>
      <c r="H499">
        <f t="shared" si="7"/>
        <v>0</v>
      </c>
    </row>
    <row r="500" spans="7:8">
      <c r="G500" t="str">
        <f>IF(F500="","",VLOOKUP(F500,设置!$B$2:$C$4,2,FALSE))</f>
        <v/>
      </c>
      <c r="H500">
        <f t="shared" si="7"/>
        <v>0</v>
      </c>
    </row>
    <row r="501" spans="7:8">
      <c r="G501" t="str">
        <f>IF(F501="","",VLOOKUP(F501,设置!$B$2:$C$4,2,FALSE))</f>
        <v/>
      </c>
      <c r="H501">
        <f t="shared" si="7"/>
        <v>0</v>
      </c>
    </row>
    <row r="502" spans="7:8">
      <c r="G502" t="str">
        <f>IF(F502="","",VLOOKUP(F502,设置!$B$2:$C$4,2,FALSE))</f>
        <v/>
      </c>
      <c r="H502">
        <f t="shared" si="7"/>
        <v>0</v>
      </c>
    </row>
    <row r="503" spans="7:8">
      <c r="G503" t="str">
        <f>IF(F503="","",VLOOKUP(F503,设置!$B$2:$C$4,2,FALSE))</f>
        <v/>
      </c>
      <c r="H503">
        <f t="shared" si="7"/>
        <v>0</v>
      </c>
    </row>
    <row r="504" spans="7:8">
      <c r="G504" t="str">
        <f>IF(F504="","",VLOOKUP(F504,设置!$B$2:$C$4,2,FALSE))</f>
        <v/>
      </c>
      <c r="H504">
        <f t="shared" si="7"/>
        <v>0</v>
      </c>
    </row>
    <row r="505" spans="7:8">
      <c r="G505" t="str">
        <f>IF(F505="","",VLOOKUP(F505,设置!$B$2:$C$4,2,FALSE))</f>
        <v/>
      </c>
      <c r="H505">
        <f t="shared" si="7"/>
        <v>0</v>
      </c>
    </row>
    <row r="506" spans="7:8">
      <c r="G506" t="str">
        <f>IF(F506="","",VLOOKUP(F506,设置!$B$2:$C$4,2,FALSE))</f>
        <v/>
      </c>
      <c r="H506">
        <f t="shared" si="7"/>
        <v>0</v>
      </c>
    </row>
    <row r="507" spans="7:8">
      <c r="G507" t="str">
        <f>IF(F507="","",VLOOKUP(F507,设置!$B$2:$C$4,2,FALSE))</f>
        <v/>
      </c>
      <c r="H507">
        <f t="shared" si="7"/>
        <v>0</v>
      </c>
    </row>
    <row r="508" spans="7:8">
      <c r="G508" t="str">
        <f>IF(F508="","",VLOOKUP(F508,设置!$B$2:$C$4,2,FALSE))</f>
        <v/>
      </c>
      <c r="H508">
        <f t="shared" si="7"/>
        <v>0</v>
      </c>
    </row>
    <row r="509" spans="7:8">
      <c r="G509" t="str">
        <f>IF(F509="","",VLOOKUP(F509,设置!$B$2:$C$4,2,FALSE))</f>
        <v/>
      </c>
      <c r="H509">
        <f t="shared" si="7"/>
        <v>0</v>
      </c>
    </row>
    <row r="510" spans="7:8">
      <c r="G510" t="str">
        <f>IF(F510="","",VLOOKUP(F510,设置!$B$2:$C$4,2,FALSE))</f>
        <v/>
      </c>
      <c r="H510">
        <f t="shared" si="7"/>
        <v>0</v>
      </c>
    </row>
    <row r="511" spans="7:8">
      <c r="G511" t="str">
        <f>IF(F511="","",VLOOKUP(F511,设置!$B$2:$C$4,2,FALSE))</f>
        <v/>
      </c>
      <c r="H511">
        <f t="shared" si="7"/>
        <v>0</v>
      </c>
    </row>
    <row r="512" spans="7:8">
      <c r="G512" t="str">
        <f>IF(F512="","",VLOOKUP(F512,设置!$B$2:$C$4,2,FALSE))</f>
        <v/>
      </c>
      <c r="H512">
        <f t="shared" si="7"/>
        <v>0</v>
      </c>
    </row>
    <row r="513" spans="7:8">
      <c r="G513" t="str">
        <f>IF(F513="","",VLOOKUP(F513,设置!$B$2:$C$4,2,FALSE))</f>
        <v/>
      </c>
      <c r="H513">
        <f t="shared" si="7"/>
        <v>0</v>
      </c>
    </row>
    <row r="514" spans="7:8">
      <c r="G514" t="str">
        <f>IF(F514="","",VLOOKUP(F514,设置!$B$2:$C$4,2,FALSE))</f>
        <v/>
      </c>
      <c r="H514">
        <f t="shared" ref="H514:H577" si="8">IF(E514="完成",G514,0)</f>
        <v>0</v>
      </c>
    </row>
    <row r="515" spans="7:8">
      <c r="G515" t="str">
        <f>IF(F515="","",VLOOKUP(F515,设置!$B$2:$C$4,2,FALSE))</f>
        <v/>
      </c>
      <c r="H515">
        <f t="shared" si="8"/>
        <v>0</v>
      </c>
    </row>
    <row r="516" spans="7:8">
      <c r="G516" t="str">
        <f>IF(F516="","",VLOOKUP(F516,设置!$B$2:$C$4,2,FALSE))</f>
        <v/>
      </c>
      <c r="H516">
        <f t="shared" si="8"/>
        <v>0</v>
      </c>
    </row>
    <row r="517" spans="7:8">
      <c r="G517" t="str">
        <f>IF(F517="","",VLOOKUP(F517,设置!$B$2:$C$4,2,FALSE))</f>
        <v/>
      </c>
      <c r="H517">
        <f t="shared" si="8"/>
        <v>0</v>
      </c>
    </row>
    <row r="518" spans="7:8">
      <c r="G518" t="str">
        <f>IF(F518="","",VLOOKUP(F518,设置!$B$2:$C$4,2,FALSE))</f>
        <v/>
      </c>
      <c r="H518">
        <f t="shared" si="8"/>
        <v>0</v>
      </c>
    </row>
    <row r="519" spans="7:8">
      <c r="G519" t="str">
        <f>IF(F519="","",VLOOKUP(F519,设置!$B$2:$C$4,2,FALSE))</f>
        <v/>
      </c>
      <c r="H519">
        <f t="shared" si="8"/>
        <v>0</v>
      </c>
    </row>
    <row r="520" spans="7:8">
      <c r="G520" t="str">
        <f>IF(F520="","",VLOOKUP(F520,设置!$B$2:$C$4,2,FALSE))</f>
        <v/>
      </c>
      <c r="H520">
        <f t="shared" si="8"/>
        <v>0</v>
      </c>
    </row>
    <row r="521" spans="7:8">
      <c r="G521" t="str">
        <f>IF(F521="","",VLOOKUP(F521,设置!$B$2:$C$4,2,FALSE))</f>
        <v/>
      </c>
      <c r="H521">
        <f t="shared" si="8"/>
        <v>0</v>
      </c>
    </row>
    <row r="522" spans="7:8">
      <c r="G522" t="str">
        <f>IF(F522="","",VLOOKUP(F522,设置!$B$2:$C$4,2,FALSE))</f>
        <v/>
      </c>
      <c r="H522">
        <f t="shared" si="8"/>
        <v>0</v>
      </c>
    </row>
    <row r="523" spans="7:8">
      <c r="G523" t="str">
        <f>IF(F523="","",VLOOKUP(F523,设置!$B$2:$C$4,2,FALSE))</f>
        <v/>
      </c>
      <c r="H523">
        <f t="shared" si="8"/>
        <v>0</v>
      </c>
    </row>
    <row r="524" spans="7:8">
      <c r="G524" t="str">
        <f>IF(F524="","",VLOOKUP(F524,设置!$B$2:$C$4,2,FALSE))</f>
        <v/>
      </c>
      <c r="H524">
        <f t="shared" si="8"/>
        <v>0</v>
      </c>
    </row>
    <row r="525" spans="7:8">
      <c r="G525" t="str">
        <f>IF(F525="","",VLOOKUP(F525,设置!$B$2:$C$4,2,FALSE))</f>
        <v/>
      </c>
      <c r="H525">
        <f t="shared" si="8"/>
        <v>0</v>
      </c>
    </row>
    <row r="526" spans="7:8">
      <c r="G526" t="str">
        <f>IF(F526="","",VLOOKUP(F526,设置!$B$2:$C$4,2,FALSE))</f>
        <v/>
      </c>
      <c r="H526">
        <f t="shared" si="8"/>
        <v>0</v>
      </c>
    </row>
    <row r="527" spans="7:8">
      <c r="G527" t="str">
        <f>IF(F527="","",VLOOKUP(F527,设置!$B$2:$C$4,2,FALSE))</f>
        <v/>
      </c>
      <c r="H527">
        <f t="shared" si="8"/>
        <v>0</v>
      </c>
    </row>
    <row r="528" spans="7:8">
      <c r="G528" t="str">
        <f>IF(F528="","",VLOOKUP(F528,设置!$B$2:$C$4,2,FALSE))</f>
        <v/>
      </c>
      <c r="H528">
        <f t="shared" si="8"/>
        <v>0</v>
      </c>
    </row>
    <row r="529" spans="7:8">
      <c r="G529" t="str">
        <f>IF(F529="","",VLOOKUP(F529,设置!$B$2:$C$4,2,FALSE))</f>
        <v/>
      </c>
      <c r="H529">
        <f t="shared" si="8"/>
        <v>0</v>
      </c>
    </row>
    <row r="530" spans="7:8">
      <c r="G530" t="str">
        <f>IF(F530="","",VLOOKUP(F530,设置!$B$2:$C$4,2,FALSE))</f>
        <v/>
      </c>
      <c r="H530">
        <f t="shared" si="8"/>
        <v>0</v>
      </c>
    </row>
    <row r="531" spans="7:8">
      <c r="G531" t="str">
        <f>IF(F531="","",VLOOKUP(F531,设置!$B$2:$C$4,2,FALSE))</f>
        <v/>
      </c>
      <c r="H531">
        <f t="shared" si="8"/>
        <v>0</v>
      </c>
    </row>
    <row r="532" spans="7:8">
      <c r="G532" t="str">
        <f>IF(F532="","",VLOOKUP(F532,设置!$B$2:$C$4,2,FALSE))</f>
        <v/>
      </c>
      <c r="H532">
        <f t="shared" si="8"/>
        <v>0</v>
      </c>
    </row>
    <row r="533" spans="7:8">
      <c r="G533" t="str">
        <f>IF(F533="","",VLOOKUP(F533,设置!$B$2:$C$4,2,FALSE))</f>
        <v/>
      </c>
      <c r="H533">
        <f t="shared" si="8"/>
        <v>0</v>
      </c>
    </row>
    <row r="534" spans="7:8">
      <c r="G534" t="str">
        <f>IF(F534="","",VLOOKUP(F534,设置!$B$2:$C$4,2,FALSE))</f>
        <v/>
      </c>
      <c r="H534">
        <f t="shared" si="8"/>
        <v>0</v>
      </c>
    </row>
    <row r="535" spans="7:8">
      <c r="G535" t="str">
        <f>IF(F535="","",VLOOKUP(F535,设置!$B$2:$C$4,2,FALSE))</f>
        <v/>
      </c>
      <c r="H535">
        <f t="shared" si="8"/>
        <v>0</v>
      </c>
    </row>
    <row r="536" spans="7:8">
      <c r="G536" t="str">
        <f>IF(F536="","",VLOOKUP(F536,设置!$B$2:$C$4,2,FALSE))</f>
        <v/>
      </c>
      <c r="H536">
        <f t="shared" si="8"/>
        <v>0</v>
      </c>
    </row>
    <row r="537" spans="7:8">
      <c r="G537" t="str">
        <f>IF(F537="","",VLOOKUP(F537,设置!$B$2:$C$4,2,FALSE))</f>
        <v/>
      </c>
      <c r="H537">
        <f t="shared" si="8"/>
        <v>0</v>
      </c>
    </row>
    <row r="538" spans="7:8">
      <c r="G538" t="str">
        <f>IF(F538="","",VLOOKUP(F538,设置!$B$2:$C$4,2,FALSE))</f>
        <v/>
      </c>
      <c r="H538">
        <f t="shared" si="8"/>
        <v>0</v>
      </c>
    </row>
    <row r="539" spans="7:8">
      <c r="G539" t="str">
        <f>IF(F539="","",VLOOKUP(F539,设置!$B$2:$C$4,2,FALSE))</f>
        <v/>
      </c>
      <c r="H539">
        <f t="shared" si="8"/>
        <v>0</v>
      </c>
    </row>
    <row r="540" spans="7:8">
      <c r="G540" t="str">
        <f>IF(F540="","",VLOOKUP(F540,设置!$B$2:$C$4,2,FALSE))</f>
        <v/>
      </c>
      <c r="H540">
        <f t="shared" si="8"/>
        <v>0</v>
      </c>
    </row>
    <row r="541" spans="7:8">
      <c r="G541" t="str">
        <f>IF(F541="","",VLOOKUP(F541,设置!$B$2:$C$4,2,FALSE))</f>
        <v/>
      </c>
      <c r="H541">
        <f t="shared" si="8"/>
        <v>0</v>
      </c>
    </row>
    <row r="542" spans="7:8">
      <c r="G542" t="str">
        <f>IF(F542="","",VLOOKUP(F542,设置!$B$2:$C$4,2,FALSE))</f>
        <v/>
      </c>
      <c r="H542">
        <f t="shared" si="8"/>
        <v>0</v>
      </c>
    </row>
    <row r="543" spans="7:8">
      <c r="G543" t="str">
        <f>IF(F543="","",VLOOKUP(F543,设置!$B$2:$C$4,2,FALSE))</f>
        <v/>
      </c>
      <c r="H543">
        <f t="shared" si="8"/>
        <v>0</v>
      </c>
    </row>
    <row r="544" spans="7:8">
      <c r="G544" t="str">
        <f>IF(F544="","",VLOOKUP(F544,设置!$B$2:$C$4,2,FALSE))</f>
        <v/>
      </c>
      <c r="H544">
        <f t="shared" si="8"/>
        <v>0</v>
      </c>
    </row>
    <row r="545" spans="7:8">
      <c r="G545" t="str">
        <f>IF(F545="","",VLOOKUP(F545,设置!$B$2:$C$4,2,FALSE))</f>
        <v/>
      </c>
      <c r="H545">
        <f t="shared" si="8"/>
        <v>0</v>
      </c>
    </row>
    <row r="546" spans="7:8">
      <c r="G546" t="str">
        <f>IF(F546="","",VLOOKUP(F546,设置!$B$2:$C$4,2,FALSE))</f>
        <v/>
      </c>
      <c r="H546">
        <f t="shared" si="8"/>
        <v>0</v>
      </c>
    </row>
    <row r="547" spans="7:8">
      <c r="G547" t="str">
        <f>IF(F547="","",VLOOKUP(F547,设置!$B$2:$C$4,2,FALSE))</f>
        <v/>
      </c>
      <c r="H547">
        <f t="shared" si="8"/>
        <v>0</v>
      </c>
    </row>
    <row r="548" spans="7:8">
      <c r="G548" t="str">
        <f>IF(F548="","",VLOOKUP(F548,设置!$B$2:$C$4,2,FALSE))</f>
        <v/>
      </c>
      <c r="H548">
        <f t="shared" si="8"/>
        <v>0</v>
      </c>
    </row>
    <row r="549" spans="7:8">
      <c r="G549" t="str">
        <f>IF(F549="","",VLOOKUP(F549,设置!$B$2:$C$4,2,FALSE))</f>
        <v/>
      </c>
      <c r="H549">
        <f t="shared" si="8"/>
        <v>0</v>
      </c>
    </row>
    <row r="550" spans="7:8">
      <c r="G550" t="str">
        <f>IF(F550="","",VLOOKUP(F550,设置!$B$2:$C$4,2,FALSE))</f>
        <v/>
      </c>
      <c r="H550">
        <f t="shared" si="8"/>
        <v>0</v>
      </c>
    </row>
    <row r="551" spans="7:8">
      <c r="G551" t="str">
        <f>IF(F551="","",VLOOKUP(F551,设置!$B$2:$C$4,2,FALSE))</f>
        <v/>
      </c>
      <c r="H551">
        <f t="shared" si="8"/>
        <v>0</v>
      </c>
    </row>
    <row r="552" spans="7:8">
      <c r="G552" t="str">
        <f>IF(F552="","",VLOOKUP(F552,设置!$B$2:$C$4,2,FALSE))</f>
        <v/>
      </c>
      <c r="H552">
        <f t="shared" si="8"/>
        <v>0</v>
      </c>
    </row>
    <row r="553" spans="7:8">
      <c r="G553" t="str">
        <f>IF(F553="","",VLOOKUP(F553,设置!$B$2:$C$4,2,FALSE))</f>
        <v/>
      </c>
      <c r="H553">
        <f t="shared" si="8"/>
        <v>0</v>
      </c>
    </row>
    <row r="554" spans="7:8">
      <c r="G554" t="str">
        <f>IF(F554="","",VLOOKUP(F554,设置!$B$2:$C$4,2,FALSE))</f>
        <v/>
      </c>
      <c r="H554">
        <f t="shared" si="8"/>
        <v>0</v>
      </c>
    </row>
    <row r="555" spans="7:8">
      <c r="G555" t="str">
        <f>IF(F555="","",VLOOKUP(F555,设置!$B$2:$C$4,2,FALSE))</f>
        <v/>
      </c>
      <c r="H555">
        <f t="shared" si="8"/>
        <v>0</v>
      </c>
    </row>
    <row r="556" spans="7:8">
      <c r="G556" t="str">
        <f>IF(F556="","",VLOOKUP(F556,设置!$B$2:$C$4,2,FALSE))</f>
        <v/>
      </c>
      <c r="H556">
        <f t="shared" si="8"/>
        <v>0</v>
      </c>
    </row>
    <row r="557" spans="7:8">
      <c r="G557" t="str">
        <f>IF(F557="","",VLOOKUP(F557,设置!$B$2:$C$4,2,FALSE))</f>
        <v/>
      </c>
      <c r="H557">
        <f t="shared" si="8"/>
        <v>0</v>
      </c>
    </row>
    <row r="558" spans="7:8">
      <c r="G558" t="str">
        <f>IF(F558="","",VLOOKUP(F558,设置!$B$2:$C$4,2,FALSE))</f>
        <v/>
      </c>
      <c r="H558">
        <f t="shared" si="8"/>
        <v>0</v>
      </c>
    </row>
    <row r="559" spans="7:8">
      <c r="G559" t="str">
        <f>IF(F559="","",VLOOKUP(F559,设置!$B$2:$C$4,2,FALSE))</f>
        <v/>
      </c>
      <c r="H559">
        <f t="shared" si="8"/>
        <v>0</v>
      </c>
    </row>
    <row r="560" spans="7:8">
      <c r="G560" t="str">
        <f>IF(F560="","",VLOOKUP(F560,设置!$B$2:$C$4,2,FALSE))</f>
        <v/>
      </c>
      <c r="H560">
        <f t="shared" si="8"/>
        <v>0</v>
      </c>
    </row>
    <row r="561" spans="7:8">
      <c r="G561" t="str">
        <f>IF(F561="","",VLOOKUP(F561,设置!$B$2:$C$4,2,FALSE))</f>
        <v/>
      </c>
      <c r="H561">
        <f t="shared" si="8"/>
        <v>0</v>
      </c>
    </row>
    <row r="562" spans="7:8">
      <c r="G562" t="str">
        <f>IF(F562="","",VLOOKUP(F562,设置!$B$2:$C$4,2,FALSE))</f>
        <v/>
      </c>
      <c r="H562">
        <f t="shared" si="8"/>
        <v>0</v>
      </c>
    </row>
    <row r="563" spans="7:8">
      <c r="G563" t="str">
        <f>IF(F563="","",VLOOKUP(F563,设置!$B$2:$C$4,2,FALSE))</f>
        <v/>
      </c>
      <c r="H563">
        <f t="shared" si="8"/>
        <v>0</v>
      </c>
    </row>
    <row r="564" spans="7:8">
      <c r="G564" t="str">
        <f>IF(F564="","",VLOOKUP(F564,设置!$B$2:$C$4,2,FALSE))</f>
        <v/>
      </c>
      <c r="H564">
        <f t="shared" si="8"/>
        <v>0</v>
      </c>
    </row>
    <row r="565" spans="7:8">
      <c r="G565" t="str">
        <f>IF(F565="","",VLOOKUP(F565,设置!$B$2:$C$4,2,FALSE))</f>
        <v/>
      </c>
      <c r="H565">
        <f t="shared" si="8"/>
        <v>0</v>
      </c>
    </row>
    <row r="566" spans="7:8">
      <c r="G566" t="str">
        <f>IF(F566="","",VLOOKUP(F566,设置!$B$2:$C$4,2,FALSE))</f>
        <v/>
      </c>
      <c r="H566">
        <f t="shared" si="8"/>
        <v>0</v>
      </c>
    </row>
    <row r="567" spans="7:8">
      <c r="G567" t="str">
        <f>IF(F567="","",VLOOKUP(F567,设置!$B$2:$C$4,2,FALSE))</f>
        <v/>
      </c>
      <c r="H567">
        <f t="shared" si="8"/>
        <v>0</v>
      </c>
    </row>
    <row r="568" spans="7:8">
      <c r="G568" t="str">
        <f>IF(F568="","",VLOOKUP(F568,设置!$B$2:$C$4,2,FALSE))</f>
        <v/>
      </c>
      <c r="H568">
        <f t="shared" si="8"/>
        <v>0</v>
      </c>
    </row>
    <row r="569" spans="7:8">
      <c r="G569" t="str">
        <f>IF(F569="","",VLOOKUP(F569,设置!$B$2:$C$4,2,FALSE))</f>
        <v/>
      </c>
      <c r="H569">
        <f t="shared" si="8"/>
        <v>0</v>
      </c>
    </row>
    <row r="570" spans="7:8">
      <c r="G570" t="str">
        <f>IF(F570="","",VLOOKUP(F570,设置!$B$2:$C$4,2,FALSE))</f>
        <v/>
      </c>
      <c r="H570">
        <f t="shared" si="8"/>
        <v>0</v>
      </c>
    </row>
    <row r="571" spans="7:8">
      <c r="G571" t="str">
        <f>IF(F571="","",VLOOKUP(F571,设置!$B$2:$C$4,2,FALSE))</f>
        <v/>
      </c>
      <c r="H571">
        <f t="shared" si="8"/>
        <v>0</v>
      </c>
    </row>
    <row r="572" spans="7:8">
      <c r="G572" t="str">
        <f>IF(F572="","",VLOOKUP(F572,设置!$B$2:$C$4,2,FALSE))</f>
        <v/>
      </c>
      <c r="H572">
        <f t="shared" si="8"/>
        <v>0</v>
      </c>
    </row>
    <row r="573" spans="7:8">
      <c r="G573" t="str">
        <f>IF(F573="","",VLOOKUP(F573,设置!$B$2:$C$4,2,FALSE))</f>
        <v/>
      </c>
      <c r="H573">
        <f t="shared" si="8"/>
        <v>0</v>
      </c>
    </row>
    <row r="574" spans="7:8">
      <c r="G574" t="str">
        <f>IF(F574="","",VLOOKUP(F574,设置!$B$2:$C$4,2,FALSE))</f>
        <v/>
      </c>
      <c r="H574">
        <f t="shared" si="8"/>
        <v>0</v>
      </c>
    </row>
    <row r="575" spans="7:8">
      <c r="G575" t="str">
        <f>IF(F575="","",VLOOKUP(F575,设置!$B$2:$C$4,2,FALSE))</f>
        <v/>
      </c>
      <c r="H575">
        <f t="shared" si="8"/>
        <v>0</v>
      </c>
    </row>
    <row r="576" spans="7:8">
      <c r="G576" t="str">
        <f>IF(F576="","",VLOOKUP(F576,设置!$B$2:$C$4,2,FALSE))</f>
        <v/>
      </c>
      <c r="H576">
        <f t="shared" si="8"/>
        <v>0</v>
      </c>
    </row>
    <row r="577" spans="7:8">
      <c r="G577" t="str">
        <f>IF(F577="","",VLOOKUP(F577,设置!$B$2:$C$4,2,FALSE))</f>
        <v/>
      </c>
      <c r="H577">
        <f t="shared" si="8"/>
        <v>0</v>
      </c>
    </row>
    <row r="578" spans="7:8">
      <c r="G578" t="str">
        <f>IF(F578="","",VLOOKUP(F578,设置!$B$2:$C$4,2,FALSE))</f>
        <v/>
      </c>
      <c r="H578">
        <f t="shared" ref="H578:H641" si="9">IF(E578="完成",G578,0)</f>
        <v>0</v>
      </c>
    </row>
    <row r="579" spans="7:8">
      <c r="G579" t="str">
        <f>IF(F579="","",VLOOKUP(F579,设置!$B$2:$C$4,2,FALSE))</f>
        <v/>
      </c>
      <c r="H579">
        <f t="shared" si="9"/>
        <v>0</v>
      </c>
    </row>
    <row r="580" spans="7:8">
      <c r="G580" t="str">
        <f>IF(F580="","",VLOOKUP(F580,设置!$B$2:$C$4,2,FALSE))</f>
        <v/>
      </c>
      <c r="H580">
        <f t="shared" si="9"/>
        <v>0</v>
      </c>
    </row>
    <row r="581" spans="7:8">
      <c r="G581" t="str">
        <f>IF(F581="","",VLOOKUP(F581,设置!$B$2:$C$4,2,FALSE))</f>
        <v/>
      </c>
      <c r="H581">
        <f t="shared" si="9"/>
        <v>0</v>
      </c>
    </row>
    <row r="582" spans="7:8">
      <c r="G582" t="str">
        <f>IF(F582="","",VLOOKUP(F582,设置!$B$2:$C$4,2,FALSE))</f>
        <v/>
      </c>
      <c r="H582">
        <f t="shared" si="9"/>
        <v>0</v>
      </c>
    </row>
    <row r="583" spans="7:8">
      <c r="G583" t="str">
        <f>IF(F583="","",VLOOKUP(F583,设置!$B$2:$C$4,2,FALSE))</f>
        <v/>
      </c>
      <c r="H583">
        <f t="shared" si="9"/>
        <v>0</v>
      </c>
    </row>
    <row r="584" spans="7:8">
      <c r="G584" t="str">
        <f>IF(F584="","",VLOOKUP(F584,设置!$B$2:$C$4,2,FALSE))</f>
        <v/>
      </c>
      <c r="H584">
        <f t="shared" si="9"/>
        <v>0</v>
      </c>
    </row>
    <row r="585" spans="7:8">
      <c r="G585" t="str">
        <f>IF(F585="","",VLOOKUP(F585,设置!$B$2:$C$4,2,FALSE))</f>
        <v/>
      </c>
      <c r="H585">
        <f t="shared" si="9"/>
        <v>0</v>
      </c>
    </row>
    <row r="586" spans="7:8">
      <c r="G586" t="str">
        <f>IF(F586="","",VLOOKUP(F586,设置!$B$2:$C$4,2,FALSE))</f>
        <v/>
      </c>
      <c r="H586">
        <f t="shared" si="9"/>
        <v>0</v>
      </c>
    </row>
    <row r="587" spans="7:8">
      <c r="G587" t="str">
        <f>IF(F587="","",VLOOKUP(F587,设置!$B$2:$C$4,2,FALSE))</f>
        <v/>
      </c>
      <c r="H587">
        <f t="shared" si="9"/>
        <v>0</v>
      </c>
    </row>
    <row r="588" spans="7:8">
      <c r="G588" t="str">
        <f>IF(F588="","",VLOOKUP(F588,设置!$B$2:$C$4,2,FALSE))</f>
        <v/>
      </c>
      <c r="H588">
        <f t="shared" si="9"/>
        <v>0</v>
      </c>
    </row>
    <row r="589" spans="7:8">
      <c r="G589" t="str">
        <f>IF(F589="","",VLOOKUP(F589,设置!$B$2:$C$4,2,FALSE))</f>
        <v/>
      </c>
      <c r="H589">
        <f t="shared" si="9"/>
        <v>0</v>
      </c>
    </row>
    <row r="590" spans="7:8">
      <c r="G590" t="str">
        <f>IF(F590="","",VLOOKUP(F590,设置!$B$2:$C$4,2,FALSE))</f>
        <v/>
      </c>
      <c r="H590">
        <f t="shared" si="9"/>
        <v>0</v>
      </c>
    </row>
    <row r="591" spans="7:8">
      <c r="G591" t="str">
        <f>IF(F591="","",VLOOKUP(F591,设置!$B$2:$C$4,2,FALSE))</f>
        <v/>
      </c>
      <c r="H591">
        <f t="shared" si="9"/>
        <v>0</v>
      </c>
    </row>
    <row r="592" spans="7:8">
      <c r="G592" t="str">
        <f>IF(F592="","",VLOOKUP(F592,设置!$B$2:$C$4,2,FALSE))</f>
        <v/>
      </c>
      <c r="H592">
        <f t="shared" si="9"/>
        <v>0</v>
      </c>
    </row>
    <row r="593" spans="7:8">
      <c r="G593" t="str">
        <f>IF(F593="","",VLOOKUP(F593,设置!$B$2:$C$4,2,FALSE))</f>
        <v/>
      </c>
      <c r="H593">
        <f t="shared" si="9"/>
        <v>0</v>
      </c>
    </row>
    <row r="594" spans="7:8">
      <c r="G594" t="str">
        <f>IF(F594="","",VLOOKUP(F594,设置!$B$2:$C$4,2,FALSE))</f>
        <v/>
      </c>
      <c r="H594">
        <f t="shared" si="9"/>
        <v>0</v>
      </c>
    </row>
    <row r="595" spans="7:8">
      <c r="G595" t="str">
        <f>IF(F595="","",VLOOKUP(F595,设置!$B$2:$C$4,2,FALSE))</f>
        <v/>
      </c>
      <c r="H595">
        <f t="shared" si="9"/>
        <v>0</v>
      </c>
    </row>
    <row r="596" spans="7:8">
      <c r="G596" t="str">
        <f>IF(F596="","",VLOOKUP(F596,设置!$B$2:$C$4,2,FALSE))</f>
        <v/>
      </c>
      <c r="H596">
        <f t="shared" si="9"/>
        <v>0</v>
      </c>
    </row>
    <row r="597" spans="7:8">
      <c r="G597" t="str">
        <f>IF(F597="","",VLOOKUP(F597,设置!$B$2:$C$4,2,FALSE))</f>
        <v/>
      </c>
      <c r="H597">
        <f t="shared" si="9"/>
        <v>0</v>
      </c>
    </row>
    <row r="598" spans="7:8">
      <c r="G598" t="str">
        <f>IF(F598="","",VLOOKUP(F598,设置!$B$2:$C$4,2,FALSE))</f>
        <v/>
      </c>
      <c r="H598">
        <f t="shared" si="9"/>
        <v>0</v>
      </c>
    </row>
    <row r="599" spans="7:8">
      <c r="G599" t="str">
        <f>IF(F599="","",VLOOKUP(F599,设置!$B$2:$C$4,2,FALSE))</f>
        <v/>
      </c>
      <c r="H599">
        <f t="shared" si="9"/>
        <v>0</v>
      </c>
    </row>
    <row r="600" spans="7:8">
      <c r="G600" t="str">
        <f>IF(F600="","",VLOOKUP(F600,设置!$B$2:$C$4,2,FALSE))</f>
        <v/>
      </c>
      <c r="H600">
        <f t="shared" si="9"/>
        <v>0</v>
      </c>
    </row>
    <row r="601" spans="7:8">
      <c r="G601" t="str">
        <f>IF(F601="","",VLOOKUP(F601,设置!$B$2:$C$4,2,FALSE))</f>
        <v/>
      </c>
      <c r="H601">
        <f t="shared" si="9"/>
        <v>0</v>
      </c>
    </row>
    <row r="602" spans="7:8">
      <c r="G602" t="str">
        <f>IF(F602="","",VLOOKUP(F602,设置!$B$2:$C$4,2,FALSE))</f>
        <v/>
      </c>
      <c r="H602">
        <f t="shared" si="9"/>
        <v>0</v>
      </c>
    </row>
    <row r="603" spans="7:8">
      <c r="G603" t="str">
        <f>IF(F603="","",VLOOKUP(F603,设置!$B$2:$C$4,2,FALSE))</f>
        <v/>
      </c>
      <c r="H603">
        <f t="shared" si="9"/>
        <v>0</v>
      </c>
    </row>
    <row r="604" spans="7:8">
      <c r="G604" t="str">
        <f>IF(F604="","",VLOOKUP(F604,设置!$B$2:$C$4,2,FALSE))</f>
        <v/>
      </c>
      <c r="H604">
        <f t="shared" si="9"/>
        <v>0</v>
      </c>
    </row>
    <row r="605" spans="7:8">
      <c r="G605" t="str">
        <f>IF(F605="","",VLOOKUP(F605,设置!$B$2:$C$4,2,FALSE))</f>
        <v/>
      </c>
      <c r="H605">
        <f t="shared" si="9"/>
        <v>0</v>
      </c>
    </row>
    <row r="606" spans="7:8">
      <c r="G606" t="str">
        <f>IF(F606="","",VLOOKUP(F606,设置!$B$2:$C$4,2,FALSE))</f>
        <v/>
      </c>
      <c r="H606">
        <f t="shared" si="9"/>
        <v>0</v>
      </c>
    </row>
    <row r="607" spans="7:8">
      <c r="G607" t="str">
        <f>IF(F607="","",VLOOKUP(F607,设置!$B$2:$C$4,2,FALSE))</f>
        <v/>
      </c>
      <c r="H607">
        <f t="shared" si="9"/>
        <v>0</v>
      </c>
    </row>
    <row r="608" spans="7:8">
      <c r="G608" t="str">
        <f>IF(F608="","",VLOOKUP(F608,设置!$B$2:$C$4,2,FALSE))</f>
        <v/>
      </c>
      <c r="H608">
        <f t="shared" si="9"/>
        <v>0</v>
      </c>
    </row>
    <row r="609" spans="7:8">
      <c r="G609" t="str">
        <f>IF(F609="","",VLOOKUP(F609,设置!$B$2:$C$4,2,FALSE))</f>
        <v/>
      </c>
      <c r="H609">
        <f t="shared" si="9"/>
        <v>0</v>
      </c>
    </row>
    <row r="610" spans="7:8">
      <c r="G610" t="str">
        <f>IF(F610="","",VLOOKUP(F610,设置!$B$2:$C$4,2,FALSE))</f>
        <v/>
      </c>
      <c r="H610">
        <f t="shared" si="9"/>
        <v>0</v>
      </c>
    </row>
    <row r="611" spans="7:8">
      <c r="G611" t="str">
        <f>IF(F611="","",VLOOKUP(F611,设置!$B$2:$C$4,2,FALSE))</f>
        <v/>
      </c>
      <c r="H611">
        <f t="shared" si="9"/>
        <v>0</v>
      </c>
    </row>
    <row r="612" spans="7:8">
      <c r="G612" t="str">
        <f>IF(F612="","",VLOOKUP(F612,设置!$B$2:$C$4,2,FALSE))</f>
        <v/>
      </c>
      <c r="H612">
        <f t="shared" si="9"/>
        <v>0</v>
      </c>
    </row>
    <row r="613" spans="7:8">
      <c r="G613" t="str">
        <f>IF(F613="","",VLOOKUP(F613,设置!$B$2:$C$4,2,FALSE))</f>
        <v/>
      </c>
      <c r="H613">
        <f t="shared" si="9"/>
        <v>0</v>
      </c>
    </row>
    <row r="614" spans="7:8">
      <c r="G614" t="str">
        <f>IF(F614="","",VLOOKUP(F614,设置!$B$2:$C$4,2,FALSE))</f>
        <v/>
      </c>
      <c r="H614">
        <f t="shared" si="9"/>
        <v>0</v>
      </c>
    </row>
    <row r="615" spans="7:8">
      <c r="G615" t="str">
        <f>IF(F615="","",VLOOKUP(F615,设置!$B$2:$C$4,2,FALSE))</f>
        <v/>
      </c>
      <c r="H615">
        <f t="shared" si="9"/>
        <v>0</v>
      </c>
    </row>
    <row r="616" spans="7:8">
      <c r="G616" t="str">
        <f>IF(F616="","",VLOOKUP(F616,设置!$B$2:$C$4,2,FALSE))</f>
        <v/>
      </c>
      <c r="H616">
        <f t="shared" si="9"/>
        <v>0</v>
      </c>
    </row>
    <row r="617" spans="7:8">
      <c r="G617" t="str">
        <f>IF(F617="","",VLOOKUP(F617,设置!$B$2:$C$4,2,FALSE))</f>
        <v/>
      </c>
      <c r="H617">
        <f t="shared" si="9"/>
        <v>0</v>
      </c>
    </row>
    <row r="618" spans="7:8">
      <c r="G618" t="str">
        <f>IF(F618="","",VLOOKUP(F618,设置!$B$2:$C$4,2,FALSE))</f>
        <v/>
      </c>
      <c r="H618">
        <f t="shared" si="9"/>
        <v>0</v>
      </c>
    </row>
    <row r="619" spans="7:8">
      <c r="G619" t="str">
        <f>IF(F619="","",VLOOKUP(F619,设置!$B$2:$C$4,2,FALSE))</f>
        <v/>
      </c>
      <c r="H619">
        <f t="shared" si="9"/>
        <v>0</v>
      </c>
    </row>
    <row r="620" spans="7:8">
      <c r="G620" t="str">
        <f>IF(F620="","",VLOOKUP(F620,设置!$B$2:$C$4,2,FALSE))</f>
        <v/>
      </c>
      <c r="H620">
        <f t="shared" si="9"/>
        <v>0</v>
      </c>
    </row>
    <row r="621" spans="7:8">
      <c r="G621" t="str">
        <f>IF(F621="","",VLOOKUP(F621,设置!$B$2:$C$4,2,FALSE))</f>
        <v/>
      </c>
      <c r="H621">
        <f t="shared" si="9"/>
        <v>0</v>
      </c>
    </row>
    <row r="622" spans="7:8">
      <c r="G622" t="str">
        <f>IF(F622="","",VLOOKUP(F622,设置!$B$2:$C$4,2,FALSE))</f>
        <v/>
      </c>
      <c r="H622">
        <f t="shared" si="9"/>
        <v>0</v>
      </c>
    </row>
    <row r="623" spans="7:8">
      <c r="G623" t="str">
        <f>IF(F623="","",VLOOKUP(F623,设置!$B$2:$C$4,2,FALSE))</f>
        <v/>
      </c>
      <c r="H623">
        <f t="shared" si="9"/>
        <v>0</v>
      </c>
    </row>
    <row r="624" spans="7:8">
      <c r="G624" t="str">
        <f>IF(F624="","",VLOOKUP(F624,设置!$B$2:$C$4,2,FALSE))</f>
        <v/>
      </c>
      <c r="H624">
        <f t="shared" si="9"/>
        <v>0</v>
      </c>
    </row>
    <row r="625" spans="7:8">
      <c r="G625" t="str">
        <f>IF(F625="","",VLOOKUP(F625,设置!$B$2:$C$4,2,FALSE))</f>
        <v/>
      </c>
      <c r="H625">
        <f t="shared" si="9"/>
        <v>0</v>
      </c>
    </row>
    <row r="626" spans="7:8">
      <c r="G626" t="str">
        <f>IF(F626="","",VLOOKUP(F626,设置!$B$2:$C$4,2,FALSE))</f>
        <v/>
      </c>
      <c r="H626">
        <f t="shared" si="9"/>
        <v>0</v>
      </c>
    </row>
    <row r="627" spans="7:8">
      <c r="G627" t="str">
        <f>IF(F627="","",VLOOKUP(F627,设置!$B$2:$C$4,2,FALSE))</f>
        <v/>
      </c>
      <c r="H627">
        <f t="shared" si="9"/>
        <v>0</v>
      </c>
    </row>
    <row r="628" spans="7:8">
      <c r="G628" t="str">
        <f>IF(F628="","",VLOOKUP(F628,设置!$B$2:$C$4,2,FALSE))</f>
        <v/>
      </c>
      <c r="H628">
        <f t="shared" si="9"/>
        <v>0</v>
      </c>
    </row>
    <row r="629" spans="7:8">
      <c r="G629" t="str">
        <f>IF(F629="","",VLOOKUP(F629,设置!$B$2:$C$4,2,FALSE))</f>
        <v/>
      </c>
      <c r="H629">
        <f t="shared" si="9"/>
        <v>0</v>
      </c>
    </row>
    <row r="630" spans="7:8">
      <c r="G630" t="str">
        <f>IF(F630="","",VLOOKUP(F630,设置!$B$2:$C$4,2,FALSE))</f>
        <v/>
      </c>
      <c r="H630">
        <f t="shared" si="9"/>
        <v>0</v>
      </c>
    </row>
    <row r="631" spans="7:8">
      <c r="G631" t="str">
        <f>IF(F631="","",VLOOKUP(F631,设置!$B$2:$C$4,2,FALSE))</f>
        <v/>
      </c>
      <c r="H631">
        <f t="shared" si="9"/>
        <v>0</v>
      </c>
    </row>
    <row r="632" spans="7:8">
      <c r="G632" t="str">
        <f>IF(F632="","",VLOOKUP(F632,设置!$B$2:$C$4,2,FALSE))</f>
        <v/>
      </c>
      <c r="H632">
        <f t="shared" si="9"/>
        <v>0</v>
      </c>
    </row>
    <row r="633" spans="7:8">
      <c r="G633" t="str">
        <f>IF(F633="","",VLOOKUP(F633,设置!$B$2:$C$4,2,FALSE))</f>
        <v/>
      </c>
      <c r="H633">
        <f t="shared" si="9"/>
        <v>0</v>
      </c>
    </row>
    <row r="634" spans="7:8">
      <c r="G634" t="str">
        <f>IF(F634="","",VLOOKUP(F634,设置!$B$2:$C$4,2,FALSE))</f>
        <v/>
      </c>
      <c r="H634">
        <f t="shared" si="9"/>
        <v>0</v>
      </c>
    </row>
    <row r="635" spans="7:8">
      <c r="G635" t="str">
        <f>IF(F635="","",VLOOKUP(F635,设置!$B$2:$C$4,2,FALSE))</f>
        <v/>
      </c>
      <c r="H635">
        <f t="shared" si="9"/>
        <v>0</v>
      </c>
    </row>
    <row r="636" spans="7:8">
      <c r="G636" t="str">
        <f>IF(F636="","",VLOOKUP(F636,设置!$B$2:$C$4,2,FALSE))</f>
        <v/>
      </c>
      <c r="H636">
        <f t="shared" si="9"/>
        <v>0</v>
      </c>
    </row>
    <row r="637" spans="7:8">
      <c r="G637" t="str">
        <f>IF(F637="","",VLOOKUP(F637,设置!$B$2:$C$4,2,FALSE))</f>
        <v/>
      </c>
      <c r="H637">
        <f t="shared" si="9"/>
        <v>0</v>
      </c>
    </row>
    <row r="638" spans="7:8">
      <c r="G638" t="str">
        <f>IF(F638="","",VLOOKUP(F638,设置!$B$2:$C$4,2,FALSE))</f>
        <v/>
      </c>
      <c r="H638">
        <f t="shared" si="9"/>
        <v>0</v>
      </c>
    </row>
    <row r="639" spans="7:8">
      <c r="G639" t="str">
        <f>IF(F639="","",VLOOKUP(F639,设置!$B$2:$C$4,2,FALSE))</f>
        <v/>
      </c>
      <c r="H639">
        <f t="shared" si="9"/>
        <v>0</v>
      </c>
    </row>
    <row r="640" spans="7:8">
      <c r="G640" t="str">
        <f>IF(F640="","",VLOOKUP(F640,设置!$B$2:$C$4,2,FALSE))</f>
        <v/>
      </c>
      <c r="H640">
        <f t="shared" si="9"/>
        <v>0</v>
      </c>
    </row>
    <row r="641" spans="7:8">
      <c r="G641" t="str">
        <f>IF(F641="","",VLOOKUP(F641,设置!$B$2:$C$4,2,FALSE))</f>
        <v/>
      </c>
      <c r="H641">
        <f t="shared" si="9"/>
        <v>0</v>
      </c>
    </row>
    <row r="642" spans="7:8">
      <c r="G642" t="str">
        <f>IF(F642="","",VLOOKUP(F642,设置!$B$2:$C$4,2,FALSE))</f>
        <v/>
      </c>
      <c r="H642">
        <f t="shared" ref="H642:H705" si="10">IF(E642="完成",G642,0)</f>
        <v>0</v>
      </c>
    </row>
    <row r="643" spans="7:8">
      <c r="G643" t="str">
        <f>IF(F643="","",VLOOKUP(F643,设置!$B$2:$C$4,2,FALSE))</f>
        <v/>
      </c>
      <c r="H643">
        <f t="shared" si="10"/>
        <v>0</v>
      </c>
    </row>
    <row r="644" spans="7:8">
      <c r="G644" t="str">
        <f>IF(F644="","",VLOOKUP(F644,设置!$B$2:$C$4,2,FALSE))</f>
        <v/>
      </c>
      <c r="H644">
        <f t="shared" si="10"/>
        <v>0</v>
      </c>
    </row>
    <row r="645" spans="7:8">
      <c r="G645" t="str">
        <f>IF(F645="","",VLOOKUP(F645,设置!$B$2:$C$4,2,FALSE))</f>
        <v/>
      </c>
      <c r="H645">
        <f t="shared" si="10"/>
        <v>0</v>
      </c>
    </row>
    <row r="646" spans="7:8">
      <c r="G646" t="str">
        <f>IF(F646="","",VLOOKUP(F646,设置!$B$2:$C$4,2,FALSE))</f>
        <v/>
      </c>
      <c r="H646">
        <f t="shared" si="10"/>
        <v>0</v>
      </c>
    </row>
    <row r="647" spans="7:8">
      <c r="G647" t="str">
        <f>IF(F647="","",VLOOKUP(F647,设置!$B$2:$C$4,2,FALSE))</f>
        <v/>
      </c>
      <c r="H647">
        <f t="shared" si="10"/>
        <v>0</v>
      </c>
    </row>
    <row r="648" spans="7:8">
      <c r="G648" t="str">
        <f>IF(F648="","",VLOOKUP(F648,设置!$B$2:$C$4,2,FALSE))</f>
        <v/>
      </c>
      <c r="H648">
        <f t="shared" si="10"/>
        <v>0</v>
      </c>
    </row>
    <row r="649" spans="7:8">
      <c r="G649" t="str">
        <f>IF(F649="","",VLOOKUP(F649,设置!$B$2:$C$4,2,FALSE))</f>
        <v/>
      </c>
      <c r="H649">
        <f t="shared" si="10"/>
        <v>0</v>
      </c>
    </row>
    <row r="650" spans="7:8">
      <c r="G650" t="str">
        <f>IF(F650="","",VLOOKUP(F650,设置!$B$2:$C$4,2,FALSE))</f>
        <v/>
      </c>
      <c r="H650">
        <f t="shared" si="10"/>
        <v>0</v>
      </c>
    </row>
    <row r="651" spans="7:8">
      <c r="G651" t="str">
        <f>IF(F651="","",VLOOKUP(F651,设置!$B$2:$C$4,2,FALSE))</f>
        <v/>
      </c>
      <c r="H651">
        <f t="shared" si="10"/>
        <v>0</v>
      </c>
    </row>
    <row r="652" spans="7:8">
      <c r="G652" t="str">
        <f>IF(F652="","",VLOOKUP(F652,设置!$B$2:$C$4,2,FALSE))</f>
        <v/>
      </c>
      <c r="H652">
        <f t="shared" si="10"/>
        <v>0</v>
      </c>
    </row>
    <row r="653" spans="7:8">
      <c r="G653" t="str">
        <f>IF(F653="","",VLOOKUP(F653,设置!$B$2:$C$4,2,FALSE))</f>
        <v/>
      </c>
      <c r="H653">
        <f t="shared" si="10"/>
        <v>0</v>
      </c>
    </row>
    <row r="654" spans="7:8">
      <c r="G654" t="str">
        <f>IF(F654="","",VLOOKUP(F654,设置!$B$2:$C$4,2,FALSE))</f>
        <v/>
      </c>
      <c r="H654">
        <f t="shared" si="10"/>
        <v>0</v>
      </c>
    </row>
    <row r="655" spans="7:8">
      <c r="G655" t="str">
        <f>IF(F655="","",VLOOKUP(F655,设置!$B$2:$C$4,2,FALSE))</f>
        <v/>
      </c>
      <c r="H655">
        <f t="shared" si="10"/>
        <v>0</v>
      </c>
    </row>
    <row r="656" spans="7:8">
      <c r="G656" t="str">
        <f>IF(F656="","",VLOOKUP(F656,设置!$B$2:$C$4,2,FALSE))</f>
        <v/>
      </c>
      <c r="H656">
        <f t="shared" si="10"/>
        <v>0</v>
      </c>
    </row>
    <row r="657" spans="7:8">
      <c r="G657" t="str">
        <f>IF(F657="","",VLOOKUP(F657,设置!$B$2:$C$4,2,FALSE))</f>
        <v/>
      </c>
      <c r="H657">
        <f t="shared" si="10"/>
        <v>0</v>
      </c>
    </row>
    <row r="658" spans="7:8">
      <c r="G658" t="str">
        <f>IF(F658="","",VLOOKUP(F658,设置!$B$2:$C$4,2,FALSE))</f>
        <v/>
      </c>
      <c r="H658">
        <f t="shared" si="10"/>
        <v>0</v>
      </c>
    </row>
    <row r="659" spans="7:8">
      <c r="G659" t="str">
        <f>IF(F659="","",VLOOKUP(F659,设置!$B$2:$C$4,2,FALSE))</f>
        <v/>
      </c>
      <c r="H659">
        <f t="shared" si="10"/>
        <v>0</v>
      </c>
    </row>
    <row r="660" spans="7:8">
      <c r="G660" t="str">
        <f>IF(F660="","",VLOOKUP(F660,设置!$B$2:$C$4,2,FALSE))</f>
        <v/>
      </c>
      <c r="H660">
        <f t="shared" si="10"/>
        <v>0</v>
      </c>
    </row>
    <row r="661" spans="7:8">
      <c r="G661" t="str">
        <f>IF(F661="","",VLOOKUP(F661,设置!$B$2:$C$4,2,FALSE))</f>
        <v/>
      </c>
      <c r="H661">
        <f t="shared" si="10"/>
        <v>0</v>
      </c>
    </row>
    <row r="662" spans="7:8">
      <c r="G662" t="str">
        <f>IF(F662="","",VLOOKUP(F662,设置!$B$2:$C$4,2,FALSE))</f>
        <v/>
      </c>
      <c r="H662">
        <f t="shared" si="10"/>
        <v>0</v>
      </c>
    </row>
    <row r="663" spans="7:8">
      <c r="G663" t="str">
        <f>IF(F663="","",VLOOKUP(F663,设置!$B$2:$C$4,2,FALSE))</f>
        <v/>
      </c>
      <c r="H663">
        <f t="shared" si="10"/>
        <v>0</v>
      </c>
    </row>
    <row r="664" spans="7:8">
      <c r="G664" t="str">
        <f>IF(F664="","",VLOOKUP(F664,设置!$B$2:$C$4,2,FALSE))</f>
        <v/>
      </c>
      <c r="H664">
        <f t="shared" si="10"/>
        <v>0</v>
      </c>
    </row>
    <row r="665" spans="7:8">
      <c r="G665" t="str">
        <f>IF(F665="","",VLOOKUP(F665,设置!$B$2:$C$4,2,FALSE))</f>
        <v/>
      </c>
      <c r="H665">
        <f t="shared" si="10"/>
        <v>0</v>
      </c>
    </row>
    <row r="666" spans="7:8">
      <c r="G666" t="str">
        <f>IF(F666="","",VLOOKUP(F666,设置!$B$2:$C$4,2,FALSE))</f>
        <v/>
      </c>
      <c r="H666">
        <f t="shared" si="10"/>
        <v>0</v>
      </c>
    </row>
    <row r="667" spans="7:8">
      <c r="G667" t="str">
        <f>IF(F667="","",VLOOKUP(F667,设置!$B$2:$C$4,2,FALSE))</f>
        <v/>
      </c>
      <c r="H667">
        <f t="shared" si="10"/>
        <v>0</v>
      </c>
    </row>
    <row r="668" spans="7:8">
      <c r="G668" t="str">
        <f>IF(F668="","",VLOOKUP(F668,设置!$B$2:$C$4,2,FALSE))</f>
        <v/>
      </c>
      <c r="H668">
        <f t="shared" si="10"/>
        <v>0</v>
      </c>
    </row>
    <row r="669" spans="7:8">
      <c r="G669" t="str">
        <f>IF(F669="","",VLOOKUP(F669,设置!$B$2:$C$4,2,FALSE))</f>
        <v/>
      </c>
      <c r="H669">
        <f t="shared" si="10"/>
        <v>0</v>
      </c>
    </row>
    <row r="670" spans="7:8">
      <c r="G670" t="str">
        <f>IF(F670="","",VLOOKUP(F670,设置!$B$2:$C$4,2,FALSE))</f>
        <v/>
      </c>
      <c r="H670">
        <f t="shared" si="10"/>
        <v>0</v>
      </c>
    </row>
    <row r="671" spans="7:8">
      <c r="G671" t="str">
        <f>IF(F671="","",VLOOKUP(F671,设置!$B$2:$C$4,2,FALSE))</f>
        <v/>
      </c>
      <c r="H671">
        <f t="shared" si="10"/>
        <v>0</v>
      </c>
    </row>
    <row r="672" spans="7:8">
      <c r="G672" t="str">
        <f>IF(F672="","",VLOOKUP(F672,设置!$B$2:$C$4,2,FALSE))</f>
        <v/>
      </c>
      <c r="H672">
        <f t="shared" si="10"/>
        <v>0</v>
      </c>
    </row>
    <row r="673" spans="7:8">
      <c r="G673" t="str">
        <f>IF(F673="","",VLOOKUP(F673,设置!$B$2:$C$4,2,FALSE))</f>
        <v/>
      </c>
      <c r="H673">
        <f t="shared" si="10"/>
        <v>0</v>
      </c>
    </row>
    <row r="674" spans="7:8">
      <c r="G674" t="str">
        <f>IF(F674="","",VLOOKUP(F674,设置!$B$2:$C$4,2,FALSE))</f>
        <v/>
      </c>
      <c r="H674">
        <f t="shared" si="10"/>
        <v>0</v>
      </c>
    </row>
    <row r="675" spans="7:8">
      <c r="G675" t="str">
        <f>IF(F675="","",VLOOKUP(F675,设置!$B$2:$C$4,2,FALSE))</f>
        <v/>
      </c>
      <c r="H675">
        <f t="shared" si="10"/>
        <v>0</v>
      </c>
    </row>
    <row r="676" spans="7:8">
      <c r="G676" t="str">
        <f>IF(F676="","",VLOOKUP(F676,设置!$B$2:$C$4,2,FALSE))</f>
        <v/>
      </c>
      <c r="H676">
        <f t="shared" si="10"/>
        <v>0</v>
      </c>
    </row>
    <row r="677" spans="7:8">
      <c r="G677" t="str">
        <f>IF(F677="","",VLOOKUP(F677,设置!$B$2:$C$4,2,FALSE))</f>
        <v/>
      </c>
      <c r="H677">
        <f t="shared" si="10"/>
        <v>0</v>
      </c>
    </row>
    <row r="678" spans="7:8">
      <c r="G678" t="str">
        <f>IF(F678="","",VLOOKUP(F678,设置!$B$2:$C$4,2,FALSE))</f>
        <v/>
      </c>
      <c r="H678">
        <f t="shared" si="10"/>
        <v>0</v>
      </c>
    </row>
    <row r="679" spans="7:8">
      <c r="G679" t="str">
        <f>IF(F679="","",VLOOKUP(F679,设置!$B$2:$C$4,2,FALSE))</f>
        <v/>
      </c>
      <c r="H679">
        <f t="shared" si="10"/>
        <v>0</v>
      </c>
    </row>
    <row r="680" spans="7:8">
      <c r="G680" t="str">
        <f>IF(F680="","",VLOOKUP(F680,设置!$B$2:$C$4,2,FALSE))</f>
        <v/>
      </c>
      <c r="H680">
        <f t="shared" si="10"/>
        <v>0</v>
      </c>
    </row>
    <row r="681" spans="7:8">
      <c r="G681" t="str">
        <f>IF(F681="","",VLOOKUP(F681,设置!$B$2:$C$4,2,FALSE))</f>
        <v/>
      </c>
      <c r="H681">
        <f t="shared" si="10"/>
        <v>0</v>
      </c>
    </row>
    <row r="682" spans="7:8">
      <c r="G682" t="str">
        <f>IF(F682="","",VLOOKUP(F682,设置!$B$2:$C$4,2,FALSE))</f>
        <v/>
      </c>
      <c r="H682">
        <f t="shared" si="10"/>
        <v>0</v>
      </c>
    </row>
    <row r="683" spans="7:8">
      <c r="G683" t="str">
        <f>IF(F683="","",VLOOKUP(F683,设置!$B$2:$C$4,2,FALSE))</f>
        <v/>
      </c>
      <c r="H683">
        <f t="shared" si="10"/>
        <v>0</v>
      </c>
    </row>
    <row r="684" spans="7:8">
      <c r="G684" t="str">
        <f>IF(F684="","",VLOOKUP(F684,设置!$B$2:$C$4,2,FALSE))</f>
        <v/>
      </c>
      <c r="H684">
        <f t="shared" si="10"/>
        <v>0</v>
      </c>
    </row>
    <row r="685" spans="7:8">
      <c r="G685" t="str">
        <f>IF(F685="","",VLOOKUP(F685,设置!$B$2:$C$4,2,FALSE))</f>
        <v/>
      </c>
      <c r="H685">
        <f t="shared" si="10"/>
        <v>0</v>
      </c>
    </row>
    <row r="686" spans="7:8">
      <c r="G686" t="str">
        <f>IF(F686="","",VLOOKUP(F686,设置!$B$2:$C$4,2,FALSE))</f>
        <v/>
      </c>
      <c r="H686">
        <f t="shared" si="10"/>
        <v>0</v>
      </c>
    </row>
    <row r="687" spans="7:8">
      <c r="G687" t="str">
        <f>IF(F687="","",VLOOKUP(F687,设置!$B$2:$C$4,2,FALSE))</f>
        <v/>
      </c>
      <c r="H687">
        <f t="shared" si="10"/>
        <v>0</v>
      </c>
    </row>
    <row r="688" spans="7:8">
      <c r="G688" t="str">
        <f>IF(F688="","",VLOOKUP(F688,设置!$B$2:$C$4,2,FALSE))</f>
        <v/>
      </c>
      <c r="H688">
        <f t="shared" si="10"/>
        <v>0</v>
      </c>
    </row>
    <row r="689" spans="7:8">
      <c r="G689" t="str">
        <f>IF(F689="","",VLOOKUP(F689,设置!$B$2:$C$4,2,FALSE))</f>
        <v/>
      </c>
      <c r="H689">
        <f t="shared" si="10"/>
        <v>0</v>
      </c>
    </row>
    <row r="690" spans="7:8">
      <c r="G690" t="str">
        <f>IF(F690="","",VLOOKUP(F690,设置!$B$2:$C$4,2,FALSE))</f>
        <v/>
      </c>
      <c r="H690">
        <f t="shared" si="10"/>
        <v>0</v>
      </c>
    </row>
    <row r="691" spans="7:8">
      <c r="G691" t="str">
        <f>IF(F691="","",VLOOKUP(F691,设置!$B$2:$C$4,2,FALSE))</f>
        <v/>
      </c>
      <c r="H691">
        <f t="shared" si="10"/>
        <v>0</v>
      </c>
    </row>
    <row r="692" spans="7:8">
      <c r="G692" t="str">
        <f>IF(F692="","",VLOOKUP(F692,设置!$B$2:$C$4,2,FALSE))</f>
        <v/>
      </c>
      <c r="H692">
        <f t="shared" si="10"/>
        <v>0</v>
      </c>
    </row>
    <row r="693" spans="7:8">
      <c r="G693" t="str">
        <f>IF(F693="","",VLOOKUP(F693,设置!$B$2:$C$4,2,FALSE))</f>
        <v/>
      </c>
      <c r="H693">
        <f t="shared" si="10"/>
        <v>0</v>
      </c>
    </row>
    <row r="694" spans="7:8">
      <c r="G694" t="str">
        <f>IF(F694="","",VLOOKUP(F694,设置!$B$2:$C$4,2,FALSE))</f>
        <v/>
      </c>
      <c r="H694">
        <f t="shared" si="10"/>
        <v>0</v>
      </c>
    </row>
    <row r="695" spans="7:8">
      <c r="G695" t="str">
        <f>IF(F695="","",VLOOKUP(F695,设置!$B$2:$C$4,2,FALSE))</f>
        <v/>
      </c>
      <c r="H695">
        <f t="shared" si="10"/>
        <v>0</v>
      </c>
    </row>
    <row r="696" spans="7:8">
      <c r="G696" t="str">
        <f>IF(F696="","",VLOOKUP(F696,设置!$B$2:$C$4,2,FALSE))</f>
        <v/>
      </c>
      <c r="H696">
        <f t="shared" si="10"/>
        <v>0</v>
      </c>
    </row>
    <row r="697" spans="7:8">
      <c r="G697" t="str">
        <f>IF(F697="","",VLOOKUP(F697,设置!$B$2:$C$4,2,FALSE))</f>
        <v/>
      </c>
      <c r="H697">
        <f t="shared" si="10"/>
        <v>0</v>
      </c>
    </row>
    <row r="698" spans="7:8">
      <c r="G698" t="str">
        <f>IF(F698="","",VLOOKUP(F698,设置!$B$2:$C$4,2,FALSE))</f>
        <v/>
      </c>
      <c r="H698">
        <f t="shared" si="10"/>
        <v>0</v>
      </c>
    </row>
    <row r="699" spans="7:8">
      <c r="G699" t="str">
        <f>IF(F699="","",VLOOKUP(F699,设置!$B$2:$C$4,2,FALSE))</f>
        <v/>
      </c>
      <c r="H699">
        <f t="shared" si="10"/>
        <v>0</v>
      </c>
    </row>
    <row r="700" spans="7:8">
      <c r="G700" t="str">
        <f>IF(F700="","",VLOOKUP(F700,设置!$B$2:$C$4,2,FALSE))</f>
        <v/>
      </c>
      <c r="H700">
        <f t="shared" si="10"/>
        <v>0</v>
      </c>
    </row>
    <row r="701" spans="7:8">
      <c r="G701" t="str">
        <f>IF(F701="","",VLOOKUP(F701,设置!$B$2:$C$4,2,FALSE))</f>
        <v/>
      </c>
      <c r="H701">
        <f t="shared" si="10"/>
        <v>0</v>
      </c>
    </row>
    <row r="702" spans="7:8">
      <c r="G702" t="str">
        <f>IF(F702="","",VLOOKUP(F702,设置!$B$2:$C$4,2,FALSE))</f>
        <v/>
      </c>
      <c r="H702">
        <f t="shared" si="10"/>
        <v>0</v>
      </c>
    </row>
    <row r="703" spans="7:8">
      <c r="G703" t="str">
        <f>IF(F703="","",VLOOKUP(F703,设置!$B$2:$C$4,2,FALSE))</f>
        <v/>
      </c>
      <c r="H703">
        <f t="shared" si="10"/>
        <v>0</v>
      </c>
    </row>
    <row r="704" spans="7:8">
      <c r="G704" t="str">
        <f>IF(F704="","",VLOOKUP(F704,设置!$B$2:$C$4,2,FALSE))</f>
        <v/>
      </c>
      <c r="H704">
        <f t="shared" si="10"/>
        <v>0</v>
      </c>
    </row>
    <row r="705" spans="7:8">
      <c r="G705" t="str">
        <f>IF(F705="","",VLOOKUP(F705,设置!$B$2:$C$4,2,FALSE))</f>
        <v/>
      </c>
      <c r="H705">
        <f t="shared" si="10"/>
        <v>0</v>
      </c>
    </row>
    <row r="706" spans="7:8">
      <c r="G706" t="str">
        <f>IF(F706="","",VLOOKUP(F706,设置!$B$2:$C$4,2,FALSE))</f>
        <v/>
      </c>
      <c r="H706">
        <f t="shared" ref="H706:H769" si="11">IF(E706="完成",G706,0)</f>
        <v>0</v>
      </c>
    </row>
    <row r="707" spans="7:8">
      <c r="G707" t="str">
        <f>IF(F707="","",VLOOKUP(F707,设置!$B$2:$C$4,2,FALSE))</f>
        <v/>
      </c>
      <c r="H707">
        <f t="shared" si="11"/>
        <v>0</v>
      </c>
    </row>
    <row r="708" spans="7:8">
      <c r="G708" t="str">
        <f>IF(F708="","",VLOOKUP(F708,设置!$B$2:$C$4,2,FALSE))</f>
        <v/>
      </c>
      <c r="H708">
        <f t="shared" si="11"/>
        <v>0</v>
      </c>
    </row>
    <row r="709" spans="7:8">
      <c r="G709" t="str">
        <f>IF(F709="","",VLOOKUP(F709,设置!$B$2:$C$4,2,FALSE))</f>
        <v/>
      </c>
      <c r="H709">
        <f t="shared" si="11"/>
        <v>0</v>
      </c>
    </row>
    <row r="710" spans="7:8">
      <c r="G710" t="str">
        <f>IF(F710="","",VLOOKUP(F710,设置!$B$2:$C$4,2,FALSE))</f>
        <v/>
      </c>
      <c r="H710">
        <f t="shared" si="11"/>
        <v>0</v>
      </c>
    </row>
    <row r="711" spans="7:8">
      <c r="G711" t="str">
        <f>IF(F711="","",VLOOKUP(F711,设置!$B$2:$C$4,2,FALSE))</f>
        <v/>
      </c>
      <c r="H711">
        <f t="shared" si="11"/>
        <v>0</v>
      </c>
    </row>
    <row r="712" spans="7:8">
      <c r="G712" t="str">
        <f>IF(F712="","",VLOOKUP(F712,设置!$B$2:$C$4,2,FALSE))</f>
        <v/>
      </c>
      <c r="H712">
        <f t="shared" si="11"/>
        <v>0</v>
      </c>
    </row>
    <row r="713" spans="7:8">
      <c r="G713" t="str">
        <f>IF(F713="","",VLOOKUP(F713,设置!$B$2:$C$4,2,FALSE))</f>
        <v/>
      </c>
      <c r="H713">
        <f t="shared" si="11"/>
        <v>0</v>
      </c>
    </row>
    <row r="714" spans="7:8">
      <c r="G714" t="str">
        <f>IF(F714="","",VLOOKUP(F714,设置!$B$2:$C$4,2,FALSE))</f>
        <v/>
      </c>
      <c r="H714">
        <f t="shared" si="11"/>
        <v>0</v>
      </c>
    </row>
    <row r="715" spans="7:8">
      <c r="G715" t="str">
        <f>IF(F715="","",VLOOKUP(F715,设置!$B$2:$C$4,2,FALSE))</f>
        <v/>
      </c>
      <c r="H715">
        <f t="shared" si="11"/>
        <v>0</v>
      </c>
    </row>
    <row r="716" spans="7:8">
      <c r="G716" t="str">
        <f>IF(F716="","",VLOOKUP(F716,设置!$B$2:$C$4,2,FALSE))</f>
        <v/>
      </c>
      <c r="H716">
        <f t="shared" si="11"/>
        <v>0</v>
      </c>
    </row>
    <row r="717" spans="7:8">
      <c r="G717" t="str">
        <f>IF(F717="","",VLOOKUP(F717,设置!$B$2:$C$4,2,FALSE))</f>
        <v/>
      </c>
      <c r="H717">
        <f t="shared" si="11"/>
        <v>0</v>
      </c>
    </row>
    <row r="718" spans="7:8">
      <c r="G718" t="str">
        <f>IF(F718="","",VLOOKUP(F718,设置!$B$2:$C$4,2,FALSE))</f>
        <v/>
      </c>
      <c r="H718">
        <f t="shared" si="11"/>
        <v>0</v>
      </c>
    </row>
    <row r="719" spans="7:8">
      <c r="G719" t="str">
        <f>IF(F719="","",VLOOKUP(F719,设置!$B$2:$C$4,2,FALSE))</f>
        <v/>
      </c>
      <c r="H719">
        <f t="shared" si="11"/>
        <v>0</v>
      </c>
    </row>
    <row r="720" spans="7:8">
      <c r="G720" t="str">
        <f>IF(F720="","",VLOOKUP(F720,设置!$B$2:$C$4,2,FALSE))</f>
        <v/>
      </c>
      <c r="H720">
        <f t="shared" si="11"/>
        <v>0</v>
      </c>
    </row>
    <row r="721" spans="7:8">
      <c r="G721" t="str">
        <f>IF(F721="","",VLOOKUP(F721,设置!$B$2:$C$4,2,FALSE))</f>
        <v/>
      </c>
      <c r="H721">
        <f t="shared" si="11"/>
        <v>0</v>
      </c>
    </row>
    <row r="722" spans="7:8">
      <c r="G722" t="str">
        <f>IF(F722="","",VLOOKUP(F722,设置!$B$2:$C$4,2,FALSE))</f>
        <v/>
      </c>
      <c r="H722">
        <f t="shared" si="11"/>
        <v>0</v>
      </c>
    </row>
    <row r="723" spans="7:8">
      <c r="G723" t="str">
        <f>IF(F723="","",VLOOKUP(F723,设置!$B$2:$C$4,2,FALSE))</f>
        <v/>
      </c>
      <c r="H723">
        <f t="shared" si="11"/>
        <v>0</v>
      </c>
    </row>
    <row r="724" spans="7:8">
      <c r="G724" t="str">
        <f>IF(F724="","",VLOOKUP(F724,设置!$B$2:$C$4,2,FALSE))</f>
        <v/>
      </c>
      <c r="H724">
        <f t="shared" si="11"/>
        <v>0</v>
      </c>
    </row>
    <row r="725" spans="7:8">
      <c r="G725" t="str">
        <f>IF(F725="","",VLOOKUP(F725,设置!$B$2:$C$4,2,FALSE))</f>
        <v/>
      </c>
      <c r="H725">
        <f t="shared" si="11"/>
        <v>0</v>
      </c>
    </row>
    <row r="726" spans="7:8">
      <c r="G726" t="str">
        <f>IF(F726="","",VLOOKUP(F726,设置!$B$2:$C$4,2,FALSE))</f>
        <v/>
      </c>
      <c r="H726">
        <f t="shared" si="11"/>
        <v>0</v>
      </c>
    </row>
    <row r="727" spans="7:8">
      <c r="G727" t="str">
        <f>IF(F727="","",VLOOKUP(F727,设置!$B$2:$C$4,2,FALSE))</f>
        <v/>
      </c>
      <c r="H727">
        <f t="shared" si="11"/>
        <v>0</v>
      </c>
    </row>
    <row r="728" spans="7:8">
      <c r="G728" t="str">
        <f>IF(F728="","",VLOOKUP(F728,设置!$B$2:$C$4,2,FALSE))</f>
        <v/>
      </c>
      <c r="H728">
        <f t="shared" si="11"/>
        <v>0</v>
      </c>
    </row>
    <row r="729" spans="7:8">
      <c r="G729" t="str">
        <f>IF(F729="","",VLOOKUP(F729,设置!$B$2:$C$4,2,FALSE))</f>
        <v/>
      </c>
      <c r="H729">
        <f t="shared" si="11"/>
        <v>0</v>
      </c>
    </row>
    <row r="730" spans="7:8">
      <c r="G730" t="str">
        <f>IF(F730="","",VLOOKUP(F730,设置!$B$2:$C$4,2,FALSE))</f>
        <v/>
      </c>
      <c r="H730">
        <f t="shared" si="11"/>
        <v>0</v>
      </c>
    </row>
    <row r="731" spans="7:8">
      <c r="G731" t="str">
        <f>IF(F731="","",VLOOKUP(F731,设置!$B$2:$C$4,2,FALSE))</f>
        <v/>
      </c>
      <c r="H731">
        <f t="shared" si="11"/>
        <v>0</v>
      </c>
    </row>
    <row r="732" spans="7:8">
      <c r="G732" t="str">
        <f>IF(F732="","",VLOOKUP(F732,设置!$B$2:$C$4,2,FALSE))</f>
        <v/>
      </c>
      <c r="H732">
        <f t="shared" si="11"/>
        <v>0</v>
      </c>
    </row>
    <row r="733" spans="7:8">
      <c r="G733" t="str">
        <f>IF(F733="","",VLOOKUP(F733,设置!$B$2:$C$4,2,FALSE))</f>
        <v/>
      </c>
      <c r="H733">
        <f t="shared" si="11"/>
        <v>0</v>
      </c>
    </row>
    <row r="734" spans="7:8">
      <c r="G734" t="str">
        <f>IF(F734="","",VLOOKUP(F734,设置!$B$2:$C$4,2,FALSE))</f>
        <v/>
      </c>
      <c r="H734">
        <f t="shared" si="11"/>
        <v>0</v>
      </c>
    </row>
    <row r="735" spans="7:8">
      <c r="G735" t="str">
        <f>IF(F735="","",VLOOKUP(F735,设置!$B$2:$C$4,2,FALSE))</f>
        <v/>
      </c>
      <c r="H735">
        <f t="shared" si="11"/>
        <v>0</v>
      </c>
    </row>
    <row r="736" spans="7:8">
      <c r="G736" t="str">
        <f>IF(F736="","",VLOOKUP(F736,设置!$B$2:$C$4,2,FALSE))</f>
        <v/>
      </c>
      <c r="H736">
        <f t="shared" si="11"/>
        <v>0</v>
      </c>
    </row>
    <row r="737" spans="7:8">
      <c r="G737" t="str">
        <f>IF(F737="","",VLOOKUP(F737,设置!$B$2:$C$4,2,FALSE))</f>
        <v/>
      </c>
      <c r="H737">
        <f t="shared" si="11"/>
        <v>0</v>
      </c>
    </row>
    <row r="738" spans="7:8">
      <c r="G738" t="str">
        <f>IF(F738="","",VLOOKUP(F738,设置!$B$2:$C$4,2,FALSE))</f>
        <v/>
      </c>
      <c r="H738">
        <f t="shared" si="11"/>
        <v>0</v>
      </c>
    </row>
    <row r="739" spans="7:8">
      <c r="G739" t="str">
        <f>IF(F739="","",VLOOKUP(F739,设置!$B$2:$C$4,2,FALSE))</f>
        <v/>
      </c>
      <c r="H739">
        <f t="shared" si="11"/>
        <v>0</v>
      </c>
    </row>
    <row r="740" spans="7:8">
      <c r="G740" t="str">
        <f>IF(F740="","",VLOOKUP(F740,设置!$B$2:$C$4,2,FALSE))</f>
        <v/>
      </c>
      <c r="H740">
        <f t="shared" si="11"/>
        <v>0</v>
      </c>
    </row>
    <row r="741" spans="7:8">
      <c r="G741" t="str">
        <f>IF(F741="","",VLOOKUP(F741,设置!$B$2:$C$4,2,FALSE))</f>
        <v/>
      </c>
      <c r="H741">
        <f t="shared" si="11"/>
        <v>0</v>
      </c>
    </row>
    <row r="742" spans="7:8">
      <c r="G742" t="str">
        <f>IF(F742="","",VLOOKUP(F742,设置!$B$2:$C$4,2,FALSE))</f>
        <v/>
      </c>
      <c r="H742">
        <f t="shared" si="11"/>
        <v>0</v>
      </c>
    </row>
    <row r="743" spans="7:8">
      <c r="G743" t="str">
        <f>IF(F743="","",VLOOKUP(F743,设置!$B$2:$C$4,2,FALSE))</f>
        <v/>
      </c>
      <c r="H743">
        <f t="shared" si="11"/>
        <v>0</v>
      </c>
    </row>
    <row r="744" spans="7:8">
      <c r="G744" t="str">
        <f>IF(F744="","",VLOOKUP(F744,设置!$B$2:$C$4,2,FALSE))</f>
        <v/>
      </c>
      <c r="H744">
        <f t="shared" si="11"/>
        <v>0</v>
      </c>
    </row>
    <row r="745" spans="7:8">
      <c r="G745" t="str">
        <f>IF(F745="","",VLOOKUP(F745,设置!$B$2:$C$4,2,FALSE))</f>
        <v/>
      </c>
      <c r="H745">
        <f t="shared" si="11"/>
        <v>0</v>
      </c>
    </row>
    <row r="746" spans="7:8">
      <c r="G746" t="str">
        <f>IF(F746="","",VLOOKUP(F746,设置!$B$2:$C$4,2,FALSE))</f>
        <v/>
      </c>
      <c r="H746">
        <f t="shared" si="11"/>
        <v>0</v>
      </c>
    </row>
    <row r="747" spans="7:8">
      <c r="G747" t="str">
        <f>IF(F747="","",VLOOKUP(F747,设置!$B$2:$C$4,2,FALSE))</f>
        <v/>
      </c>
      <c r="H747">
        <f t="shared" si="11"/>
        <v>0</v>
      </c>
    </row>
    <row r="748" spans="7:8">
      <c r="G748" t="str">
        <f>IF(F748="","",VLOOKUP(F748,设置!$B$2:$C$4,2,FALSE))</f>
        <v/>
      </c>
      <c r="H748">
        <f t="shared" si="11"/>
        <v>0</v>
      </c>
    </row>
    <row r="749" spans="7:8">
      <c r="G749" t="str">
        <f>IF(F749="","",VLOOKUP(F749,设置!$B$2:$C$4,2,FALSE))</f>
        <v/>
      </c>
      <c r="H749">
        <f t="shared" si="11"/>
        <v>0</v>
      </c>
    </row>
    <row r="750" spans="7:8">
      <c r="G750" t="str">
        <f>IF(F750="","",VLOOKUP(F750,设置!$B$2:$C$4,2,FALSE))</f>
        <v/>
      </c>
      <c r="H750">
        <f t="shared" si="11"/>
        <v>0</v>
      </c>
    </row>
    <row r="751" spans="7:8">
      <c r="G751" t="str">
        <f>IF(F751="","",VLOOKUP(F751,设置!$B$2:$C$4,2,FALSE))</f>
        <v/>
      </c>
      <c r="H751">
        <f t="shared" si="11"/>
        <v>0</v>
      </c>
    </row>
    <row r="752" spans="7:8">
      <c r="G752" t="str">
        <f>IF(F752="","",VLOOKUP(F752,设置!$B$2:$C$4,2,FALSE))</f>
        <v/>
      </c>
      <c r="H752">
        <f t="shared" si="11"/>
        <v>0</v>
      </c>
    </row>
    <row r="753" spans="7:8">
      <c r="G753" t="str">
        <f>IF(F753="","",VLOOKUP(F753,设置!$B$2:$C$4,2,FALSE))</f>
        <v/>
      </c>
      <c r="H753">
        <f t="shared" si="11"/>
        <v>0</v>
      </c>
    </row>
    <row r="754" spans="7:8">
      <c r="G754" t="str">
        <f>IF(F754="","",VLOOKUP(F754,设置!$B$2:$C$4,2,FALSE))</f>
        <v/>
      </c>
      <c r="H754">
        <f t="shared" si="11"/>
        <v>0</v>
      </c>
    </row>
    <row r="755" spans="7:8">
      <c r="G755" t="str">
        <f>IF(F755="","",VLOOKUP(F755,设置!$B$2:$C$4,2,FALSE))</f>
        <v/>
      </c>
      <c r="H755">
        <f t="shared" si="11"/>
        <v>0</v>
      </c>
    </row>
    <row r="756" spans="7:8">
      <c r="G756" t="str">
        <f>IF(F756="","",VLOOKUP(F756,设置!$B$2:$C$4,2,FALSE))</f>
        <v/>
      </c>
      <c r="H756">
        <f t="shared" si="11"/>
        <v>0</v>
      </c>
    </row>
    <row r="757" spans="7:8">
      <c r="G757" t="str">
        <f>IF(F757="","",VLOOKUP(F757,设置!$B$2:$C$4,2,FALSE))</f>
        <v/>
      </c>
      <c r="H757">
        <f t="shared" si="11"/>
        <v>0</v>
      </c>
    </row>
    <row r="758" spans="7:8">
      <c r="G758" t="str">
        <f>IF(F758="","",VLOOKUP(F758,设置!$B$2:$C$4,2,FALSE))</f>
        <v/>
      </c>
      <c r="H758">
        <f t="shared" si="11"/>
        <v>0</v>
      </c>
    </row>
    <row r="759" spans="7:8">
      <c r="G759" t="str">
        <f>IF(F759="","",VLOOKUP(F759,设置!$B$2:$C$4,2,FALSE))</f>
        <v/>
      </c>
      <c r="H759">
        <f t="shared" si="11"/>
        <v>0</v>
      </c>
    </row>
    <row r="760" spans="7:8">
      <c r="G760" t="str">
        <f>IF(F760="","",VLOOKUP(F760,设置!$B$2:$C$4,2,FALSE))</f>
        <v/>
      </c>
      <c r="H760">
        <f t="shared" si="11"/>
        <v>0</v>
      </c>
    </row>
    <row r="761" spans="7:8">
      <c r="G761" t="str">
        <f>IF(F761="","",VLOOKUP(F761,设置!$B$2:$C$4,2,FALSE))</f>
        <v/>
      </c>
      <c r="H761">
        <f t="shared" si="11"/>
        <v>0</v>
      </c>
    </row>
    <row r="762" spans="7:8">
      <c r="G762" t="str">
        <f>IF(F762="","",VLOOKUP(F762,设置!$B$2:$C$4,2,FALSE))</f>
        <v/>
      </c>
      <c r="H762">
        <f t="shared" si="11"/>
        <v>0</v>
      </c>
    </row>
    <row r="763" spans="7:8">
      <c r="G763" t="str">
        <f>IF(F763="","",VLOOKUP(F763,设置!$B$2:$C$4,2,FALSE))</f>
        <v/>
      </c>
      <c r="H763">
        <f t="shared" si="11"/>
        <v>0</v>
      </c>
    </row>
    <row r="764" spans="7:8">
      <c r="G764" t="str">
        <f>IF(F764="","",VLOOKUP(F764,设置!$B$2:$C$4,2,FALSE))</f>
        <v/>
      </c>
      <c r="H764">
        <f t="shared" si="11"/>
        <v>0</v>
      </c>
    </row>
    <row r="765" spans="7:8">
      <c r="G765" t="str">
        <f>IF(F765="","",VLOOKUP(F765,设置!$B$2:$C$4,2,FALSE))</f>
        <v/>
      </c>
      <c r="H765">
        <f t="shared" si="11"/>
        <v>0</v>
      </c>
    </row>
    <row r="766" spans="7:8">
      <c r="G766" t="str">
        <f>IF(F766="","",VLOOKUP(F766,设置!$B$2:$C$4,2,FALSE))</f>
        <v/>
      </c>
      <c r="H766">
        <f t="shared" si="11"/>
        <v>0</v>
      </c>
    </row>
    <row r="767" spans="7:8">
      <c r="G767" t="str">
        <f>IF(F767="","",VLOOKUP(F767,设置!$B$2:$C$4,2,FALSE))</f>
        <v/>
      </c>
      <c r="H767">
        <f t="shared" si="11"/>
        <v>0</v>
      </c>
    </row>
    <row r="768" spans="7:8">
      <c r="G768" t="str">
        <f>IF(F768="","",VLOOKUP(F768,设置!$B$2:$C$4,2,FALSE))</f>
        <v/>
      </c>
      <c r="H768">
        <f t="shared" si="11"/>
        <v>0</v>
      </c>
    </row>
    <row r="769" spans="7:8">
      <c r="G769" t="str">
        <f>IF(F769="","",VLOOKUP(F769,设置!$B$2:$C$4,2,FALSE))</f>
        <v/>
      </c>
      <c r="H769">
        <f t="shared" si="11"/>
        <v>0</v>
      </c>
    </row>
    <row r="770" spans="7:8">
      <c r="G770" t="str">
        <f>IF(F770="","",VLOOKUP(F770,设置!$B$2:$C$4,2,FALSE))</f>
        <v/>
      </c>
      <c r="H770">
        <f t="shared" ref="H770:H833" si="12">IF(E770="完成",G770,0)</f>
        <v>0</v>
      </c>
    </row>
    <row r="771" spans="7:8">
      <c r="G771" t="str">
        <f>IF(F771="","",VLOOKUP(F771,设置!$B$2:$C$4,2,FALSE))</f>
        <v/>
      </c>
      <c r="H771">
        <f t="shared" si="12"/>
        <v>0</v>
      </c>
    </row>
    <row r="772" spans="7:8">
      <c r="G772" t="str">
        <f>IF(F772="","",VLOOKUP(F772,设置!$B$2:$C$4,2,FALSE))</f>
        <v/>
      </c>
      <c r="H772">
        <f t="shared" si="12"/>
        <v>0</v>
      </c>
    </row>
    <row r="773" spans="7:8">
      <c r="G773" t="str">
        <f>IF(F773="","",VLOOKUP(F773,设置!$B$2:$C$4,2,FALSE))</f>
        <v/>
      </c>
      <c r="H773">
        <f t="shared" si="12"/>
        <v>0</v>
      </c>
    </row>
    <row r="774" spans="7:8">
      <c r="G774" t="str">
        <f>IF(F774="","",VLOOKUP(F774,设置!$B$2:$C$4,2,FALSE))</f>
        <v/>
      </c>
      <c r="H774">
        <f t="shared" si="12"/>
        <v>0</v>
      </c>
    </row>
    <row r="775" spans="7:8">
      <c r="G775" t="str">
        <f>IF(F775="","",VLOOKUP(F775,设置!$B$2:$C$4,2,FALSE))</f>
        <v/>
      </c>
      <c r="H775">
        <f t="shared" si="12"/>
        <v>0</v>
      </c>
    </row>
    <row r="776" spans="7:8">
      <c r="G776" t="str">
        <f>IF(F776="","",VLOOKUP(F776,设置!$B$2:$C$4,2,FALSE))</f>
        <v/>
      </c>
      <c r="H776">
        <f t="shared" si="12"/>
        <v>0</v>
      </c>
    </row>
    <row r="777" spans="7:8">
      <c r="G777" t="str">
        <f>IF(F777="","",VLOOKUP(F777,设置!$B$2:$C$4,2,FALSE))</f>
        <v/>
      </c>
      <c r="H777">
        <f t="shared" si="12"/>
        <v>0</v>
      </c>
    </row>
    <row r="778" spans="7:8">
      <c r="G778" t="str">
        <f>IF(F778="","",VLOOKUP(F778,设置!$B$2:$C$4,2,FALSE))</f>
        <v/>
      </c>
      <c r="H778">
        <f t="shared" si="12"/>
        <v>0</v>
      </c>
    </row>
    <row r="779" spans="7:8">
      <c r="G779" t="str">
        <f>IF(F779="","",VLOOKUP(F779,设置!$B$2:$C$4,2,FALSE))</f>
        <v/>
      </c>
      <c r="H779">
        <f t="shared" si="12"/>
        <v>0</v>
      </c>
    </row>
    <row r="780" spans="7:8">
      <c r="G780" t="str">
        <f>IF(F780="","",VLOOKUP(F780,设置!$B$2:$C$4,2,FALSE))</f>
        <v/>
      </c>
      <c r="H780">
        <f t="shared" si="12"/>
        <v>0</v>
      </c>
    </row>
    <row r="781" spans="7:8">
      <c r="G781" t="str">
        <f>IF(F781="","",VLOOKUP(F781,设置!$B$2:$C$4,2,FALSE))</f>
        <v/>
      </c>
      <c r="H781">
        <f t="shared" si="12"/>
        <v>0</v>
      </c>
    </row>
    <row r="782" spans="7:8">
      <c r="G782" t="str">
        <f>IF(F782="","",VLOOKUP(F782,设置!$B$2:$C$4,2,FALSE))</f>
        <v/>
      </c>
      <c r="H782">
        <f t="shared" si="12"/>
        <v>0</v>
      </c>
    </row>
    <row r="783" spans="7:8">
      <c r="G783" t="str">
        <f>IF(F783="","",VLOOKUP(F783,设置!$B$2:$C$4,2,FALSE))</f>
        <v/>
      </c>
      <c r="H783">
        <f t="shared" si="12"/>
        <v>0</v>
      </c>
    </row>
    <row r="784" spans="7:8">
      <c r="G784" t="str">
        <f>IF(F784="","",VLOOKUP(F784,设置!$B$2:$C$4,2,FALSE))</f>
        <v/>
      </c>
      <c r="H784">
        <f t="shared" si="12"/>
        <v>0</v>
      </c>
    </row>
    <row r="785" spans="7:8">
      <c r="G785" t="str">
        <f>IF(F785="","",VLOOKUP(F785,设置!$B$2:$C$4,2,FALSE))</f>
        <v/>
      </c>
      <c r="H785">
        <f t="shared" si="12"/>
        <v>0</v>
      </c>
    </row>
    <row r="786" spans="7:8">
      <c r="G786" t="str">
        <f>IF(F786="","",VLOOKUP(F786,设置!$B$2:$C$4,2,FALSE))</f>
        <v/>
      </c>
      <c r="H786">
        <f t="shared" si="12"/>
        <v>0</v>
      </c>
    </row>
    <row r="787" spans="7:8">
      <c r="G787" t="str">
        <f>IF(F787="","",VLOOKUP(F787,设置!$B$2:$C$4,2,FALSE))</f>
        <v/>
      </c>
      <c r="H787">
        <f t="shared" si="12"/>
        <v>0</v>
      </c>
    </row>
    <row r="788" spans="7:8">
      <c r="G788" t="str">
        <f>IF(F788="","",VLOOKUP(F788,设置!$B$2:$C$4,2,FALSE))</f>
        <v/>
      </c>
      <c r="H788">
        <f t="shared" si="12"/>
        <v>0</v>
      </c>
    </row>
    <row r="789" spans="7:8">
      <c r="G789" t="str">
        <f>IF(F789="","",VLOOKUP(F789,设置!$B$2:$C$4,2,FALSE))</f>
        <v/>
      </c>
      <c r="H789">
        <f t="shared" si="12"/>
        <v>0</v>
      </c>
    </row>
    <row r="790" spans="7:8">
      <c r="G790" t="str">
        <f>IF(F790="","",VLOOKUP(F790,设置!$B$2:$C$4,2,FALSE))</f>
        <v/>
      </c>
      <c r="H790">
        <f t="shared" si="12"/>
        <v>0</v>
      </c>
    </row>
    <row r="791" spans="7:8">
      <c r="G791" t="str">
        <f>IF(F791="","",VLOOKUP(F791,设置!$B$2:$C$4,2,FALSE))</f>
        <v/>
      </c>
      <c r="H791">
        <f t="shared" si="12"/>
        <v>0</v>
      </c>
    </row>
    <row r="792" spans="7:8">
      <c r="G792" t="str">
        <f>IF(F792="","",VLOOKUP(F792,设置!$B$2:$C$4,2,FALSE))</f>
        <v/>
      </c>
      <c r="H792">
        <f t="shared" si="12"/>
        <v>0</v>
      </c>
    </row>
    <row r="793" spans="7:8">
      <c r="G793" t="str">
        <f>IF(F793="","",VLOOKUP(F793,设置!$B$2:$C$4,2,FALSE))</f>
        <v/>
      </c>
      <c r="H793">
        <f t="shared" si="12"/>
        <v>0</v>
      </c>
    </row>
    <row r="794" spans="7:8">
      <c r="G794" t="str">
        <f>IF(F794="","",VLOOKUP(F794,设置!$B$2:$C$4,2,FALSE))</f>
        <v/>
      </c>
      <c r="H794">
        <f t="shared" si="12"/>
        <v>0</v>
      </c>
    </row>
    <row r="795" spans="7:8">
      <c r="G795" t="str">
        <f>IF(F795="","",VLOOKUP(F795,设置!$B$2:$C$4,2,FALSE))</f>
        <v/>
      </c>
      <c r="H795">
        <f t="shared" si="12"/>
        <v>0</v>
      </c>
    </row>
    <row r="796" spans="7:8">
      <c r="G796" t="str">
        <f>IF(F796="","",VLOOKUP(F796,设置!$B$2:$C$4,2,FALSE))</f>
        <v/>
      </c>
      <c r="H796">
        <f t="shared" si="12"/>
        <v>0</v>
      </c>
    </row>
    <row r="797" spans="7:8">
      <c r="G797" t="str">
        <f>IF(F797="","",VLOOKUP(F797,设置!$B$2:$C$4,2,FALSE))</f>
        <v/>
      </c>
      <c r="H797">
        <f t="shared" si="12"/>
        <v>0</v>
      </c>
    </row>
    <row r="798" spans="7:8">
      <c r="G798" t="str">
        <f>IF(F798="","",VLOOKUP(F798,设置!$B$2:$C$4,2,FALSE))</f>
        <v/>
      </c>
      <c r="H798">
        <f t="shared" si="12"/>
        <v>0</v>
      </c>
    </row>
    <row r="799" spans="7:8">
      <c r="G799" t="str">
        <f>IF(F799="","",VLOOKUP(F799,设置!$B$2:$C$4,2,FALSE))</f>
        <v/>
      </c>
      <c r="H799">
        <f t="shared" si="12"/>
        <v>0</v>
      </c>
    </row>
    <row r="800" spans="7:8">
      <c r="G800" t="str">
        <f>IF(F800="","",VLOOKUP(F800,设置!$B$2:$C$4,2,FALSE))</f>
        <v/>
      </c>
      <c r="H800">
        <f t="shared" si="12"/>
        <v>0</v>
      </c>
    </row>
    <row r="801" spans="7:8">
      <c r="G801" t="str">
        <f>IF(F801="","",VLOOKUP(F801,设置!$B$2:$C$4,2,FALSE))</f>
        <v/>
      </c>
      <c r="H801">
        <f t="shared" si="12"/>
        <v>0</v>
      </c>
    </row>
    <row r="802" spans="7:8">
      <c r="G802" t="str">
        <f>IF(F802="","",VLOOKUP(F802,设置!$B$2:$C$4,2,FALSE))</f>
        <v/>
      </c>
      <c r="H802">
        <f t="shared" si="12"/>
        <v>0</v>
      </c>
    </row>
    <row r="803" spans="7:8">
      <c r="G803" t="str">
        <f>IF(F803="","",VLOOKUP(F803,设置!$B$2:$C$4,2,FALSE))</f>
        <v/>
      </c>
      <c r="H803">
        <f t="shared" si="12"/>
        <v>0</v>
      </c>
    </row>
    <row r="804" spans="7:8">
      <c r="G804" t="str">
        <f>IF(F804="","",VLOOKUP(F804,设置!$B$2:$C$4,2,FALSE))</f>
        <v/>
      </c>
      <c r="H804">
        <f t="shared" si="12"/>
        <v>0</v>
      </c>
    </row>
    <row r="805" spans="7:8">
      <c r="G805" t="str">
        <f>IF(F805="","",VLOOKUP(F805,设置!$B$2:$C$4,2,FALSE))</f>
        <v/>
      </c>
      <c r="H805">
        <f t="shared" si="12"/>
        <v>0</v>
      </c>
    </row>
    <row r="806" spans="7:8">
      <c r="G806" t="str">
        <f>IF(F806="","",VLOOKUP(F806,设置!$B$2:$C$4,2,FALSE))</f>
        <v/>
      </c>
      <c r="H806">
        <f t="shared" si="12"/>
        <v>0</v>
      </c>
    </row>
    <row r="807" spans="7:8">
      <c r="G807" t="str">
        <f>IF(F807="","",VLOOKUP(F807,设置!$B$2:$C$4,2,FALSE))</f>
        <v/>
      </c>
      <c r="H807">
        <f t="shared" si="12"/>
        <v>0</v>
      </c>
    </row>
    <row r="808" spans="7:8">
      <c r="G808" t="str">
        <f>IF(F808="","",VLOOKUP(F808,设置!$B$2:$C$4,2,FALSE))</f>
        <v/>
      </c>
      <c r="H808">
        <f t="shared" si="12"/>
        <v>0</v>
      </c>
    </row>
    <row r="809" spans="7:8">
      <c r="G809" t="str">
        <f>IF(F809="","",VLOOKUP(F809,设置!$B$2:$C$4,2,FALSE))</f>
        <v/>
      </c>
      <c r="H809">
        <f t="shared" si="12"/>
        <v>0</v>
      </c>
    </row>
    <row r="810" spans="7:8">
      <c r="G810" t="str">
        <f>IF(F810="","",VLOOKUP(F810,设置!$B$2:$C$4,2,FALSE))</f>
        <v/>
      </c>
      <c r="H810">
        <f t="shared" si="12"/>
        <v>0</v>
      </c>
    </row>
    <row r="811" spans="7:8">
      <c r="G811" t="str">
        <f>IF(F811="","",VLOOKUP(F811,设置!$B$2:$C$4,2,FALSE))</f>
        <v/>
      </c>
      <c r="H811">
        <f t="shared" si="12"/>
        <v>0</v>
      </c>
    </row>
    <row r="812" spans="7:8">
      <c r="G812" t="str">
        <f>IF(F812="","",VLOOKUP(F812,设置!$B$2:$C$4,2,FALSE))</f>
        <v/>
      </c>
      <c r="H812">
        <f t="shared" si="12"/>
        <v>0</v>
      </c>
    </row>
    <row r="813" spans="7:8">
      <c r="G813" t="str">
        <f>IF(F813="","",VLOOKUP(F813,设置!$B$2:$C$4,2,FALSE))</f>
        <v/>
      </c>
      <c r="H813">
        <f t="shared" si="12"/>
        <v>0</v>
      </c>
    </row>
    <row r="814" spans="7:8">
      <c r="G814" t="str">
        <f>IF(F814="","",VLOOKUP(F814,设置!$B$2:$C$4,2,FALSE))</f>
        <v/>
      </c>
      <c r="H814">
        <f t="shared" si="12"/>
        <v>0</v>
      </c>
    </row>
    <row r="815" spans="7:8">
      <c r="G815" t="str">
        <f>IF(F815="","",VLOOKUP(F815,设置!$B$2:$C$4,2,FALSE))</f>
        <v/>
      </c>
      <c r="H815">
        <f t="shared" si="12"/>
        <v>0</v>
      </c>
    </row>
    <row r="816" spans="7:8">
      <c r="G816" t="str">
        <f>IF(F816="","",VLOOKUP(F816,设置!$B$2:$C$4,2,FALSE))</f>
        <v/>
      </c>
      <c r="H816">
        <f t="shared" si="12"/>
        <v>0</v>
      </c>
    </row>
    <row r="817" spans="7:8">
      <c r="G817" t="str">
        <f>IF(F817="","",VLOOKUP(F817,设置!$B$2:$C$4,2,FALSE))</f>
        <v/>
      </c>
      <c r="H817">
        <f t="shared" si="12"/>
        <v>0</v>
      </c>
    </row>
    <row r="818" spans="7:8">
      <c r="G818" t="str">
        <f>IF(F818="","",VLOOKUP(F818,设置!$B$2:$C$4,2,FALSE))</f>
        <v/>
      </c>
      <c r="H818">
        <f t="shared" si="12"/>
        <v>0</v>
      </c>
    </row>
    <row r="819" spans="7:8">
      <c r="G819" t="str">
        <f>IF(F819="","",VLOOKUP(F819,设置!$B$2:$C$4,2,FALSE))</f>
        <v/>
      </c>
      <c r="H819">
        <f t="shared" si="12"/>
        <v>0</v>
      </c>
    </row>
    <row r="820" spans="7:8">
      <c r="G820" t="str">
        <f>IF(F820="","",VLOOKUP(F820,设置!$B$2:$C$4,2,FALSE))</f>
        <v/>
      </c>
      <c r="H820">
        <f t="shared" si="12"/>
        <v>0</v>
      </c>
    </row>
    <row r="821" spans="7:8">
      <c r="G821" t="str">
        <f>IF(F821="","",VLOOKUP(F821,设置!$B$2:$C$4,2,FALSE))</f>
        <v/>
      </c>
      <c r="H821">
        <f t="shared" si="12"/>
        <v>0</v>
      </c>
    </row>
    <row r="822" spans="7:8">
      <c r="G822" t="str">
        <f>IF(F822="","",VLOOKUP(F822,设置!$B$2:$C$4,2,FALSE))</f>
        <v/>
      </c>
      <c r="H822">
        <f t="shared" si="12"/>
        <v>0</v>
      </c>
    </row>
    <row r="823" spans="7:8">
      <c r="G823" t="str">
        <f>IF(F823="","",VLOOKUP(F823,设置!$B$2:$C$4,2,FALSE))</f>
        <v/>
      </c>
      <c r="H823">
        <f t="shared" si="12"/>
        <v>0</v>
      </c>
    </row>
    <row r="824" spans="7:8">
      <c r="G824" t="str">
        <f>IF(F824="","",VLOOKUP(F824,设置!$B$2:$C$4,2,FALSE))</f>
        <v/>
      </c>
      <c r="H824">
        <f t="shared" si="12"/>
        <v>0</v>
      </c>
    </row>
    <row r="825" spans="7:8">
      <c r="G825" t="str">
        <f>IF(F825="","",VLOOKUP(F825,设置!$B$2:$C$4,2,FALSE))</f>
        <v/>
      </c>
      <c r="H825">
        <f t="shared" si="12"/>
        <v>0</v>
      </c>
    </row>
    <row r="826" spans="7:8">
      <c r="G826" t="str">
        <f>IF(F826="","",VLOOKUP(F826,设置!$B$2:$C$4,2,FALSE))</f>
        <v/>
      </c>
      <c r="H826">
        <f t="shared" si="12"/>
        <v>0</v>
      </c>
    </row>
    <row r="827" spans="7:8">
      <c r="G827" t="str">
        <f>IF(F827="","",VLOOKUP(F827,设置!$B$2:$C$4,2,FALSE))</f>
        <v/>
      </c>
      <c r="H827">
        <f t="shared" si="12"/>
        <v>0</v>
      </c>
    </row>
    <row r="828" spans="7:8">
      <c r="G828" t="str">
        <f>IF(F828="","",VLOOKUP(F828,设置!$B$2:$C$4,2,FALSE))</f>
        <v/>
      </c>
      <c r="H828">
        <f t="shared" si="12"/>
        <v>0</v>
      </c>
    </row>
    <row r="829" spans="7:8">
      <c r="G829" t="str">
        <f>IF(F829="","",VLOOKUP(F829,设置!$B$2:$C$4,2,FALSE))</f>
        <v/>
      </c>
      <c r="H829">
        <f t="shared" si="12"/>
        <v>0</v>
      </c>
    </row>
    <row r="830" spans="7:8">
      <c r="G830" t="str">
        <f>IF(F830="","",VLOOKUP(F830,设置!$B$2:$C$4,2,FALSE))</f>
        <v/>
      </c>
      <c r="H830">
        <f t="shared" si="12"/>
        <v>0</v>
      </c>
    </row>
    <row r="831" spans="7:8">
      <c r="G831" t="str">
        <f>IF(F831="","",VLOOKUP(F831,设置!$B$2:$C$4,2,FALSE))</f>
        <v/>
      </c>
      <c r="H831">
        <f t="shared" si="12"/>
        <v>0</v>
      </c>
    </row>
    <row r="832" spans="7:8">
      <c r="G832" t="str">
        <f>IF(F832="","",VLOOKUP(F832,设置!$B$2:$C$4,2,FALSE))</f>
        <v/>
      </c>
      <c r="H832">
        <f t="shared" si="12"/>
        <v>0</v>
      </c>
    </row>
    <row r="833" spans="7:8">
      <c r="G833" t="str">
        <f>IF(F833="","",VLOOKUP(F833,设置!$B$2:$C$4,2,FALSE))</f>
        <v/>
      </c>
      <c r="H833">
        <f t="shared" si="12"/>
        <v>0</v>
      </c>
    </row>
    <row r="834" spans="7:8">
      <c r="G834" t="str">
        <f>IF(F834="","",VLOOKUP(F834,设置!$B$2:$C$4,2,FALSE))</f>
        <v/>
      </c>
      <c r="H834">
        <f t="shared" ref="H834:H897" si="13">IF(E834="完成",G834,0)</f>
        <v>0</v>
      </c>
    </row>
    <row r="835" spans="7:8">
      <c r="G835" t="str">
        <f>IF(F835="","",VLOOKUP(F835,设置!$B$2:$C$4,2,FALSE))</f>
        <v/>
      </c>
      <c r="H835">
        <f t="shared" si="13"/>
        <v>0</v>
      </c>
    </row>
    <row r="836" spans="7:8">
      <c r="G836" t="str">
        <f>IF(F836="","",VLOOKUP(F836,设置!$B$2:$C$4,2,FALSE))</f>
        <v/>
      </c>
      <c r="H836">
        <f t="shared" si="13"/>
        <v>0</v>
      </c>
    </row>
    <row r="837" spans="7:8">
      <c r="G837" t="str">
        <f>IF(F837="","",VLOOKUP(F837,设置!$B$2:$C$4,2,FALSE))</f>
        <v/>
      </c>
      <c r="H837">
        <f t="shared" si="13"/>
        <v>0</v>
      </c>
    </row>
    <row r="838" spans="7:8">
      <c r="G838" t="str">
        <f>IF(F838="","",VLOOKUP(F838,设置!$B$2:$C$4,2,FALSE))</f>
        <v/>
      </c>
      <c r="H838">
        <f t="shared" si="13"/>
        <v>0</v>
      </c>
    </row>
    <row r="839" spans="7:8">
      <c r="G839" t="str">
        <f>IF(F839="","",VLOOKUP(F839,设置!$B$2:$C$4,2,FALSE))</f>
        <v/>
      </c>
      <c r="H839">
        <f t="shared" si="13"/>
        <v>0</v>
      </c>
    </row>
    <row r="840" spans="7:8">
      <c r="G840" t="str">
        <f>IF(F840="","",VLOOKUP(F840,设置!$B$2:$C$4,2,FALSE))</f>
        <v/>
      </c>
      <c r="H840">
        <f t="shared" si="13"/>
        <v>0</v>
      </c>
    </row>
    <row r="841" spans="7:8">
      <c r="G841" t="str">
        <f>IF(F841="","",VLOOKUP(F841,设置!$B$2:$C$4,2,FALSE))</f>
        <v/>
      </c>
      <c r="H841">
        <f t="shared" si="13"/>
        <v>0</v>
      </c>
    </row>
    <row r="842" spans="7:8">
      <c r="G842" t="str">
        <f>IF(F842="","",VLOOKUP(F842,设置!$B$2:$C$4,2,FALSE))</f>
        <v/>
      </c>
      <c r="H842">
        <f t="shared" si="13"/>
        <v>0</v>
      </c>
    </row>
    <row r="843" spans="7:8">
      <c r="G843" t="str">
        <f>IF(F843="","",VLOOKUP(F843,设置!$B$2:$C$4,2,FALSE))</f>
        <v/>
      </c>
      <c r="H843">
        <f t="shared" si="13"/>
        <v>0</v>
      </c>
    </row>
    <row r="844" spans="7:8">
      <c r="G844" t="str">
        <f>IF(F844="","",VLOOKUP(F844,设置!$B$2:$C$4,2,FALSE))</f>
        <v/>
      </c>
      <c r="H844">
        <f t="shared" si="13"/>
        <v>0</v>
      </c>
    </row>
    <row r="845" spans="7:8">
      <c r="G845" t="str">
        <f>IF(F845="","",VLOOKUP(F845,设置!$B$2:$C$4,2,FALSE))</f>
        <v/>
      </c>
      <c r="H845">
        <f t="shared" si="13"/>
        <v>0</v>
      </c>
    </row>
    <row r="846" spans="7:8">
      <c r="G846" t="str">
        <f>IF(F846="","",VLOOKUP(F846,设置!$B$2:$C$4,2,FALSE))</f>
        <v/>
      </c>
      <c r="H846">
        <f t="shared" si="13"/>
        <v>0</v>
      </c>
    </row>
    <row r="847" spans="7:8">
      <c r="G847" t="str">
        <f>IF(F847="","",VLOOKUP(F847,设置!$B$2:$C$4,2,FALSE))</f>
        <v/>
      </c>
      <c r="H847">
        <f t="shared" si="13"/>
        <v>0</v>
      </c>
    </row>
    <row r="848" spans="7:8">
      <c r="G848" t="str">
        <f>IF(F848="","",VLOOKUP(F848,设置!$B$2:$C$4,2,FALSE))</f>
        <v/>
      </c>
      <c r="H848">
        <f t="shared" si="13"/>
        <v>0</v>
      </c>
    </row>
    <row r="849" spans="7:8">
      <c r="G849" t="str">
        <f>IF(F849="","",VLOOKUP(F849,设置!$B$2:$C$4,2,FALSE))</f>
        <v/>
      </c>
      <c r="H849">
        <f t="shared" si="13"/>
        <v>0</v>
      </c>
    </row>
    <row r="850" spans="7:8">
      <c r="G850" t="str">
        <f>IF(F850="","",VLOOKUP(F850,设置!$B$2:$C$4,2,FALSE))</f>
        <v/>
      </c>
      <c r="H850">
        <f t="shared" si="13"/>
        <v>0</v>
      </c>
    </row>
    <row r="851" spans="7:8">
      <c r="G851" t="str">
        <f>IF(F851="","",VLOOKUP(F851,设置!$B$2:$C$4,2,FALSE))</f>
        <v/>
      </c>
      <c r="H851">
        <f t="shared" si="13"/>
        <v>0</v>
      </c>
    </row>
    <row r="852" spans="7:8">
      <c r="G852" t="str">
        <f>IF(F852="","",VLOOKUP(F852,设置!$B$2:$C$4,2,FALSE))</f>
        <v/>
      </c>
      <c r="H852">
        <f t="shared" si="13"/>
        <v>0</v>
      </c>
    </row>
    <row r="853" spans="7:8">
      <c r="G853" t="str">
        <f>IF(F853="","",VLOOKUP(F853,设置!$B$2:$C$4,2,FALSE))</f>
        <v/>
      </c>
      <c r="H853">
        <f t="shared" si="13"/>
        <v>0</v>
      </c>
    </row>
    <row r="854" spans="7:8">
      <c r="G854" t="str">
        <f>IF(F854="","",VLOOKUP(F854,设置!$B$2:$C$4,2,FALSE))</f>
        <v/>
      </c>
      <c r="H854">
        <f t="shared" si="13"/>
        <v>0</v>
      </c>
    </row>
    <row r="855" spans="7:8">
      <c r="G855" t="str">
        <f>IF(F855="","",VLOOKUP(F855,设置!$B$2:$C$4,2,FALSE))</f>
        <v/>
      </c>
      <c r="H855">
        <f t="shared" si="13"/>
        <v>0</v>
      </c>
    </row>
    <row r="856" spans="7:8">
      <c r="G856" t="str">
        <f>IF(F856="","",VLOOKUP(F856,设置!$B$2:$C$4,2,FALSE))</f>
        <v/>
      </c>
      <c r="H856">
        <f t="shared" si="13"/>
        <v>0</v>
      </c>
    </row>
    <row r="857" spans="7:8">
      <c r="G857" t="str">
        <f>IF(F857="","",VLOOKUP(F857,设置!$B$2:$C$4,2,FALSE))</f>
        <v/>
      </c>
      <c r="H857">
        <f t="shared" si="13"/>
        <v>0</v>
      </c>
    </row>
    <row r="858" spans="7:8">
      <c r="G858" t="str">
        <f>IF(F858="","",VLOOKUP(F858,设置!$B$2:$C$4,2,FALSE))</f>
        <v/>
      </c>
      <c r="H858">
        <f t="shared" si="13"/>
        <v>0</v>
      </c>
    </row>
    <row r="859" spans="7:8">
      <c r="G859" t="str">
        <f>IF(F859="","",VLOOKUP(F859,设置!$B$2:$C$4,2,FALSE))</f>
        <v/>
      </c>
      <c r="H859">
        <f t="shared" si="13"/>
        <v>0</v>
      </c>
    </row>
    <row r="860" spans="7:8">
      <c r="G860" t="str">
        <f>IF(F860="","",VLOOKUP(F860,设置!$B$2:$C$4,2,FALSE))</f>
        <v/>
      </c>
      <c r="H860">
        <f t="shared" si="13"/>
        <v>0</v>
      </c>
    </row>
    <row r="861" spans="7:8">
      <c r="G861" t="str">
        <f>IF(F861="","",VLOOKUP(F861,设置!$B$2:$C$4,2,FALSE))</f>
        <v/>
      </c>
      <c r="H861">
        <f t="shared" si="13"/>
        <v>0</v>
      </c>
    </row>
    <row r="862" spans="7:8">
      <c r="G862" t="str">
        <f>IF(F862="","",VLOOKUP(F862,设置!$B$2:$C$4,2,FALSE))</f>
        <v/>
      </c>
      <c r="H862">
        <f t="shared" si="13"/>
        <v>0</v>
      </c>
    </row>
    <row r="863" spans="7:8">
      <c r="G863" t="str">
        <f>IF(F863="","",VLOOKUP(F863,设置!$B$2:$C$4,2,FALSE))</f>
        <v/>
      </c>
      <c r="H863">
        <f t="shared" si="13"/>
        <v>0</v>
      </c>
    </row>
    <row r="864" spans="7:8">
      <c r="G864" t="str">
        <f>IF(F864="","",VLOOKUP(F864,设置!$B$2:$C$4,2,FALSE))</f>
        <v/>
      </c>
      <c r="H864">
        <f t="shared" si="13"/>
        <v>0</v>
      </c>
    </row>
    <row r="865" spans="7:8">
      <c r="G865" t="str">
        <f>IF(F865="","",VLOOKUP(F865,设置!$B$2:$C$4,2,FALSE))</f>
        <v/>
      </c>
      <c r="H865">
        <f t="shared" si="13"/>
        <v>0</v>
      </c>
    </row>
    <row r="866" spans="7:8">
      <c r="G866" t="str">
        <f>IF(F866="","",VLOOKUP(F866,设置!$B$2:$C$4,2,FALSE))</f>
        <v/>
      </c>
      <c r="H866">
        <f t="shared" si="13"/>
        <v>0</v>
      </c>
    </row>
    <row r="867" spans="7:8">
      <c r="G867" t="str">
        <f>IF(F867="","",VLOOKUP(F867,设置!$B$2:$C$4,2,FALSE))</f>
        <v/>
      </c>
      <c r="H867">
        <f t="shared" si="13"/>
        <v>0</v>
      </c>
    </row>
    <row r="868" spans="7:8">
      <c r="G868" t="str">
        <f>IF(F868="","",VLOOKUP(F868,设置!$B$2:$C$4,2,FALSE))</f>
        <v/>
      </c>
      <c r="H868">
        <f t="shared" si="13"/>
        <v>0</v>
      </c>
    </row>
    <row r="869" spans="7:8">
      <c r="G869" t="str">
        <f>IF(F869="","",VLOOKUP(F869,设置!$B$2:$C$4,2,FALSE))</f>
        <v/>
      </c>
      <c r="H869">
        <f t="shared" si="13"/>
        <v>0</v>
      </c>
    </row>
    <row r="870" spans="7:8">
      <c r="G870" t="str">
        <f>IF(F870="","",VLOOKUP(F870,设置!$B$2:$C$4,2,FALSE))</f>
        <v/>
      </c>
      <c r="H870">
        <f t="shared" si="13"/>
        <v>0</v>
      </c>
    </row>
    <row r="871" spans="7:8">
      <c r="G871" t="str">
        <f>IF(F871="","",VLOOKUP(F871,设置!$B$2:$C$4,2,FALSE))</f>
        <v/>
      </c>
      <c r="H871">
        <f t="shared" si="13"/>
        <v>0</v>
      </c>
    </row>
    <row r="872" spans="7:8">
      <c r="G872" t="str">
        <f>IF(F872="","",VLOOKUP(F872,设置!$B$2:$C$4,2,FALSE))</f>
        <v/>
      </c>
      <c r="H872">
        <f t="shared" si="13"/>
        <v>0</v>
      </c>
    </row>
    <row r="873" spans="7:8">
      <c r="G873" t="str">
        <f>IF(F873="","",VLOOKUP(F873,设置!$B$2:$C$4,2,FALSE))</f>
        <v/>
      </c>
      <c r="H873">
        <f t="shared" si="13"/>
        <v>0</v>
      </c>
    </row>
    <row r="874" spans="7:8">
      <c r="G874" t="str">
        <f>IF(F874="","",VLOOKUP(F874,设置!$B$2:$C$4,2,FALSE))</f>
        <v/>
      </c>
      <c r="H874">
        <f t="shared" si="13"/>
        <v>0</v>
      </c>
    </row>
    <row r="875" spans="7:8">
      <c r="G875" t="str">
        <f>IF(F875="","",VLOOKUP(F875,设置!$B$2:$C$4,2,FALSE))</f>
        <v/>
      </c>
      <c r="H875">
        <f t="shared" si="13"/>
        <v>0</v>
      </c>
    </row>
    <row r="876" spans="7:8">
      <c r="G876" t="str">
        <f>IF(F876="","",VLOOKUP(F876,设置!$B$2:$C$4,2,FALSE))</f>
        <v/>
      </c>
      <c r="H876">
        <f t="shared" si="13"/>
        <v>0</v>
      </c>
    </row>
    <row r="877" spans="7:8">
      <c r="G877" t="str">
        <f>IF(F877="","",VLOOKUP(F877,设置!$B$2:$C$4,2,FALSE))</f>
        <v/>
      </c>
      <c r="H877">
        <f t="shared" si="13"/>
        <v>0</v>
      </c>
    </row>
    <row r="878" spans="7:8">
      <c r="G878" t="str">
        <f>IF(F878="","",VLOOKUP(F878,设置!$B$2:$C$4,2,FALSE))</f>
        <v/>
      </c>
      <c r="H878">
        <f t="shared" si="13"/>
        <v>0</v>
      </c>
    </row>
    <row r="879" spans="7:8">
      <c r="G879" t="str">
        <f>IF(F879="","",VLOOKUP(F879,设置!$B$2:$C$4,2,FALSE))</f>
        <v/>
      </c>
      <c r="H879">
        <f t="shared" si="13"/>
        <v>0</v>
      </c>
    </row>
    <row r="880" spans="7:8">
      <c r="G880" t="str">
        <f>IF(F880="","",VLOOKUP(F880,设置!$B$2:$C$4,2,FALSE))</f>
        <v/>
      </c>
      <c r="H880">
        <f t="shared" si="13"/>
        <v>0</v>
      </c>
    </row>
    <row r="881" spans="7:8">
      <c r="G881" t="str">
        <f>IF(F881="","",VLOOKUP(F881,设置!$B$2:$C$4,2,FALSE))</f>
        <v/>
      </c>
      <c r="H881">
        <f t="shared" si="13"/>
        <v>0</v>
      </c>
    </row>
    <row r="882" spans="7:8">
      <c r="G882" t="str">
        <f>IF(F882="","",VLOOKUP(F882,设置!$B$2:$C$4,2,FALSE))</f>
        <v/>
      </c>
      <c r="H882">
        <f t="shared" si="13"/>
        <v>0</v>
      </c>
    </row>
    <row r="883" spans="7:8">
      <c r="G883" t="str">
        <f>IF(F883="","",VLOOKUP(F883,设置!$B$2:$C$4,2,FALSE))</f>
        <v/>
      </c>
      <c r="H883">
        <f t="shared" si="13"/>
        <v>0</v>
      </c>
    </row>
    <row r="884" spans="7:8">
      <c r="G884" t="str">
        <f>IF(F884="","",VLOOKUP(F884,设置!$B$2:$C$4,2,FALSE))</f>
        <v/>
      </c>
      <c r="H884">
        <f t="shared" si="13"/>
        <v>0</v>
      </c>
    </row>
    <row r="885" spans="7:8">
      <c r="G885" t="str">
        <f>IF(F885="","",VLOOKUP(F885,设置!$B$2:$C$4,2,FALSE))</f>
        <v/>
      </c>
      <c r="H885">
        <f t="shared" si="13"/>
        <v>0</v>
      </c>
    </row>
    <row r="886" spans="7:8">
      <c r="G886" t="str">
        <f>IF(F886="","",VLOOKUP(F886,设置!$B$2:$C$4,2,FALSE))</f>
        <v/>
      </c>
      <c r="H886">
        <f t="shared" si="13"/>
        <v>0</v>
      </c>
    </row>
    <row r="887" spans="7:8">
      <c r="G887" t="str">
        <f>IF(F887="","",VLOOKUP(F887,设置!$B$2:$C$4,2,FALSE))</f>
        <v/>
      </c>
      <c r="H887">
        <f t="shared" si="13"/>
        <v>0</v>
      </c>
    </row>
    <row r="888" spans="7:8">
      <c r="G888" t="str">
        <f>IF(F888="","",VLOOKUP(F888,设置!$B$2:$C$4,2,FALSE))</f>
        <v/>
      </c>
      <c r="H888">
        <f t="shared" si="13"/>
        <v>0</v>
      </c>
    </row>
    <row r="889" spans="7:8">
      <c r="G889" t="str">
        <f>IF(F889="","",VLOOKUP(F889,设置!$B$2:$C$4,2,FALSE))</f>
        <v/>
      </c>
      <c r="H889">
        <f t="shared" si="13"/>
        <v>0</v>
      </c>
    </row>
    <row r="890" spans="7:8">
      <c r="G890" t="str">
        <f>IF(F890="","",VLOOKUP(F890,设置!$B$2:$C$4,2,FALSE))</f>
        <v/>
      </c>
      <c r="H890">
        <f t="shared" si="13"/>
        <v>0</v>
      </c>
    </row>
    <row r="891" spans="7:8">
      <c r="G891" t="str">
        <f>IF(F891="","",VLOOKUP(F891,设置!$B$2:$C$4,2,FALSE))</f>
        <v/>
      </c>
      <c r="H891">
        <f t="shared" si="13"/>
        <v>0</v>
      </c>
    </row>
    <row r="892" spans="7:8">
      <c r="G892" t="str">
        <f>IF(F892="","",VLOOKUP(F892,设置!$B$2:$C$4,2,FALSE))</f>
        <v/>
      </c>
      <c r="H892">
        <f t="shared" si="13"/>
        <v>0</v>
      </c>
    </row>
    <row r="893" spans="7:8">
      <c r="G893" t="str">
        <f>IF(F893="","",VLOOKUP(F893,设置!$B$2:$C$4,2,FALSE))</f>
        <v/>
      </c>
      <c r="H893">
        <f t="shared" si="13"/>
        <v>0</v>
      </c>
    </row>
    <row r="894" spans="7:8">
      <c r="G894" t="str">
        <f>IF(F894="","",VLOOKUP(F894,设置!$B$2:$C$4,2,FALSE))</f>
        <v/>
      </c>
      <c r="H894">
        <f t="shared" si="13"/>
        <v>0</v>
      </c>
    </row>
    <row r="895" spans="7:8">
      <c r="G895" t="str">
        <f>IF(F895="","",VLOOKUP(F895,设置!$B$2:$C$4,2,FALSE))</f>
        <v/>
      </c>
      <c r="H895">
        <f t="shared" si="13"/>
        <v>0</v>
      </c>
    </row>
    <row r="896" spans="7:8">
      <c r="G896" t="str">
        <f>IF(F896="","",VLOOKUP(F896,设置!$B$2:$C$4,2,FALSE))</f>
        <v/>
      </c>
      <c r="H896">
        <f t="shared" si="13"/>
        <v>0</v>
      </c>
    </row>
    <row r="897" spans="7:8">
      <c r="G897" t="str">
        <f>IF(F897="","",VLOOKUP(F897,设置!$B$2:$C$4,2,FALSE))</f>
        <v/>
      </c>
      <c r="H897">
        <f t="shared" si="13"/>
        <v>0</v>
      </c>
    </row>
    <row r="898" spans="7:8">
      <c r="G898" t="str">
        <f>IF(F898="","",VLOOKUP(F898,设置!$B$2:$C$4,2,FALSE))</f>
        <v/>
      </c>
      <c r="H898">
        <f t="shared" ref="H898:H961" si="14">IF(E898="完成",G898,0)</f>
        <v>0</v>
      </c>
    </row>
    <row r="899" spans="7:8">
      <c r="G899" t="str">
        <f>IF(F899="","",VLOOKUP(F899,设置!$B$2:$C$4,2,FALSE))</f>
        <v/>
      </c>
      <c r="H899">
        <f t="shared" si="14"/>
        <v>0</v>
      </c>
    </row>
    <row r="900" spans="7:8">
      <c r="G900" t="str">
        <f>IF(F900="","",VLOOKUP(F900,设置!$B$2:$C$4,2,FALSE))</f>
        <v/>
      </c>
      <c r="H900">
        <f t="shared" si="14"/>
        <v>0</v>
      </c>
    </row>
    <row r="901" spans="7:8">
      <c r="G901" t="str">
        <f>IF(F901="","",VLOOKUP(F901,设置!$B$2:$C$4,2,FALSE))</f>
        <v/>
      </c>
      <c r="H901">
        <f t="shared" si="14"/>
        <v>0</v>
      </c>
    </row>
    <row r="902" spans="7:8">
      <c r="G902" t="str">
        <f>IF(F902="","",VLOOKUP(F902,设置!$B$2:$C$4,2,FALSE))</f>
        <v/>
      </c>
      <c r="H902">
        <f t="shared" si="14"/>
        <v>0</v>
      </c>
    </row>
    <row r="903" spans="7:8">
      <c r="G903" t="str">
        <f>IF(F903="","",VLOOKUP(F903,设置!$B$2:$C$4,2,FALSE))</f>
        <v/>
      </c>
      <c r="H903">
        <f t="shared" si="14"/>
        <v>0</v>
      </c>
    </row>
    <row r="904" spans="7:8">
      <c r="G904" t="str">
        <f>IF(F904="","",VLOOKUP(F904,设置!$B$2:$C$4,2,FALSE))</f>
        <v/>
      </c>
      <c r="H904">
        <f t="shared" si="14"/>
        <v>0</v>
      </c>
    </row>
    <row r="905" spans="7:8">
      <c r="G905" t="str">
        <f>IF(F905="","",VLOOKUP(F905,设置!$B$2:$C$4,2,FALSE))</f>
        <v/>
      </c>
      <c r="H905">
        <f t="shared" si="14"/>
        <v>0</v>
      </c>
    </row>
    <row r="906" spans="7:8">
      <c r="G906" t="str">
        <f>IF(F906="","",VLOOKUP(F906,设置!$B$2:$C$4,2,FALSE))</f>
        <v/>
      </c>
      <c r="H906">
        <f t="shared" si="14"/>
        <v>0</v>
      </c>
    </row>
    <row r="907" spans="7:8">
      <c r="G907" t="str">
        <f>IF(F907="","",VLOOKUP(F907,设置!$B$2:$C$4,2,FALSE))</f>
        <v/>
      </c>
      <c r="H907">
        <f t="shared" si="14"/>
        <v>0</v>
      </c>
    </row>
    <row r="908" spans="7:8">
      <c r="G908" t="str">
        <f>IF(F908="","",VLOOKUP(F908,设置!$B$2:$C$4,2,FALSE))</f>
        <v/>
      </c>
      <c r="H908">
        <f t="shared" si="14"/>
        <v>0</v>
      </c>
    </row>
    <row r="909" spans="7:8">
      <c r="G909" t="str">
        <f>IF(F909="","",VLOOKUP(F909,设置!$B$2:$C$4,2,FALSE))</f>
        <v/>
      </c>
      <c r="H909">
        <f t="shared" si="14"/>
        <v>0</v>
      </c>
    </row>
    <row r="910" spans="7:8">
      <c r="G910" t="str">
        <f>IF(F910="","",VLOOKUP(F910,设置!$B$2:$C$4,2,FALSE))</f>
        <v/>
      </c>
      <c r="H910">
        <f t="shared" si="14"/>
        <v>0</v>
      </c>
    </row>
    <row r="911" spans="7:8">
      <c r="G911" t="str">
        <f>IF(F911="","",VLOOKUP(F911,设置!$B$2:$C$4,2,FALSE))</f>
        <v/>
      </c>
      <c r="H911">
        <f t="shared" si="14"/>
        <v>0</v>
      </c>
    </row>
    <row r="912" spans="7:8">
      <c r="G912" t="str">
        <f>IF(F912="","",VLOOKUP(F912,设置!$B$2:$C$4,2,FALSE))</f>
        <v/>
      </c>
      <c r="H912">
        <f t="shared" si="14"/>
        <v>0</v>
      </c>
    </row>
    <row r="913" spans="7:8">
      <c r="G913" t="str">
        <f>IF(F913="","",VLOOKUP(F913,设置!$B$2:$C$4,2,FALSE))</f>
        <v/>
      </c>
      <c r="H913">
        <f t="shared" si="14"/>
        <v>0</v>
      </c>
    </row>
    <row r="914" spans="7:8">
      <c r="G914" t="str">
        <f>IF(F914="","",VLOOKUP(F914,设置!$B$2:$C$4,2,FALSE))</f>
        <v/>
      </c>
      <c r="H914">
        <f t="shared" si="14"/>
        <v>0</v>
      </c>
    </row>
    <row r="915" spans="7:8">
      <c r="G915" t="str">
        <f>IF(F915="","",VLOOKUP(F915,设置!$B$2:$C$4,2,FALSE))</f>
        <v/>
      </c>
      <c r="H915">
        <f t="shared" si="14"/>
        <v>0</v>
      </c>
    </row>
    <row r="916" spans="7:8">
      <c r="G916" t="str">
        <f>IF(F916="","",VLOOKUP(F916,设置!$B$2:$C$4,2,FALSE))</f>
        <v/>
      </c>
      <c r="H916">
        <f t="shared" si="14"/>
        <v>0</v>
      </c>
    </row>
    <row r="917" spans="7:8">
      <c r="G917" t="str">
        <f>IF(F917="","",VLOOKUP(F917,设置!$B$2:$C$4,2,FALSE))</f>
        <v/>
      </c>
      <c r="H917">
        <f t="shared" si="14"/>
        <v>0</v>
      </c>
    </row>
    <row r="918" spans="7:8">
      <c r="G918" t="str">
        <f>IF(F918="","",VLOOKUP(F918,设置!$B$2:$C$4,2,FALSE))</f>
        <v/>
      </c>
      <c r="H918">
        <f t="shared" si="14"/>
        <v>0</v>
      </c>
    </row>
    <row r="919" spans="7:8">
      <c r="G919" t="str">
        <f>IF(F919="","",VLOOKUP(F919,设置!$B$2:$C$4,2,FALSE))</f>
        <v/>
      </c>
      <c r="H919">
        <f t="shared" si="14"/>
        <v>0</v>
      </c>
    </row>
    <row r="920" spans="7:8">
      <c r="G920" t="str">
        <f>IF(F920="","",VLOOKUP(F920,设置!$B$2:$C$4,2,FALSE))</f>
        <v/>
      </c>
      <c r="H920">
        <f t="shared" si="14"/>
        <v>0</v>
      </c>
    </row>
    <row r="921" spans="7:8">
      <c r="G921" t="str">
        <f>IF(F921="","",VLOOKUP(F921,设置!$B$2:$C$4,2,FALSE))</f>
        <v/>
      </c>
      <c r="H921">
        <f t="shared" si="14"/>
        <v>0</v>
      </c>
    </row>
    <row r="922" spans="7:8">
      <c r="G922" t="str">
        <f>IF(F922="","",VLOOKUP(F922,设置!$B$2:$C$4,2,FALSE))</f>
        <v/>
      </c>
      <c r="H922">
        <f t="shared" si="14"/>
        <v>0</v>
      </c>
    </row>
    <row r="923" spans="7:8">
      <c r="G923" t="str">
        <f>IF(F923="","",VLOOKUP(F923,设置!$B$2:$C$4,2,FALSE))</f>
        <v/>
      </c>
      <c r="H923">
        <f t="shared" si="14"/>
        <v>0</v>
      </c>
    </row>
    <row r="924" spans="7:8">
      <c r="G924" t="str">
        <f>IF(F924="","",VLOOKUP(F924,设置!$B$2:$C$4,2,FALSE))</f>
        <v/>
      </c>
      <c r="H924">
        <f t="shared" si="14"/>
        <v>0</v>
      </c>
    </row>
    <row r="925" spans="7:8">
      <c r="G925" t="str">
        <f>IF(F925="","",VLOOKUP(F925,设置!$B$2:$C$4,2,FALSE))</f>
        <v/>
      </c>
      <c r="H925">
        <f t="shared" si="14"/>
        <v>0</v>
      </c>
    </row>
    <row r="926" spans="7:8">
      <c r="G926" t="str">
        <f>IF(F926="","",VLOOKUP(F926,设置!$B$2:$C$4,2,FALSE))</f>
        <v/>
      </c>
      <c r="H926">
        <f t="shared" si="14"/>
        <v>0</v>
      </c>
    </row>
    <row r="927" spans="7:8">
      <c r="G927" t="str">
        <f>IF(F927="","",VLOOKUP(F927,设置!$B$2:$C$4,2,FALSE))</f>
        <v/>
      </c>
      <c r="H927">
        <f t="shared" si="14"/>
        <v>0</v>
      </c>
    </row>
    <row r="928" spans="7:8">
      <c r="G928" t="str">
        <f>IF(F928="","",VLOOKUP(F928,设置!$B$2:$C$4,2,FALSE))</f>
        <v/>
      </c>
      <c r="H928">
        <f t="shared" si="14"/>
        <v>0</v>
      </c>
    </row>
    <row r="929" spans="7:8">
      <c r="G929" t="str">
        <f>IF(F929="","",VLOOKUP(F929,设置!$B$2:$C$4,2,FALSE))</f>
        <v/>
      </c>
      <c r="H929">
        <f t="shared" si="14"/>
        <v>0</v>
      </c>
    </row>
    <row r="930" spans="7:8">
      <c r="G930" t="str">
        <f>IF(F930="","",VLOOKUP(F930,设置!$B$2:$C$4,2,FALSE))</f>
        <v/>
      </c>
      <c r="H930">
        <f t="shared" si="14"/>
        <v>0</v>
      </c>
    </row>
    <row r="931" spans="7:8">
      <c r="G931" t="str">
        <f>IF(F931="","",VLOOKUP(F931,设置!$B$2:$C$4,2,FALSE))</f>
        <v/>
      </c>
      <c r="H931">
        <f t="shared" si="14"/>
        <v>0</v>
      </c>
    </row>
    <row r="932" spans="7:8">
      <c r="G932" t="str">
        <f>IF(F932="","",VLOOKUP(F932,设置!$B$2:$C$4,2,FALSE))</f>
        <v/>
      </c>
      <c r="H932">
        <f t="shared" si="14"/>
        <v>0</v>
      </c>
    </row>
    <row r="933" spans="7:8">
      <c r="G933" t="str">
        <f>IF(F933="","",VLOOKUP(F933,设置!$B$2:$C$4,2,FALSE))</f>
        <v/>
      </c>
      <c r="H933">
        <f t="shared" si="14"/>
        <v>0</v>
      </c>
    </row>
    <row r="934" spans="7:8">
      <c r="G934" t="str">
        <f>IF(F934="","",VLOOKUP(F934,设置!$B$2:$C$4,2,FALSE))</f>
        <v/>
      </c>
      <c r="H934">
        <f t="shared" si="14"/>
        <v>0</v>
      </c>
    </row>
    <row r="935" spans="7:8">
      <c r="G935" t="str">
        <f>IF(F935="","",VLOOKUP(F935,设置!$B$2:$C$4,2,FALSE))</f>
        <v/>
      </c>
      <c r="H935">
        <f t="shared" si="14"/>
        <v>0</v>
      </c>
    </row>
    <row r="936" spans="7:8">
      <c r="G936" t="str">
        <f>IF(F936="","",VLOOKUP(F936,设置!$B$2:$C$4,2,FALSE))</f>
        <v/>
      </c>
      <c r="H936">
        <f t="shared" si="14"/>
        <v>0</v>
      </c>
    </row>
    <row r="937" spans="7:8">
      <c r="G937" t="str">
        <f>IF(F937="","",VLOOKUP(F937,设置!$B$2:$C$4,2,FALSE))</f>
        <v/>
      </c>
      <c r="H937">
        <f t="shared" si="14"/>
        <v>0</v>
      </c>
    </row>
    <row r="938" spans="7:8">
      <c r="G938" t="str">
        <f>IF(F938="","",VLOOKUP(F938,设置!$B$2:$C$4,2,FALSE))</f>
        <v/>
      </c>
      <c r="H938">
        <f t="shared" si="14"/>
        <v>0</v>
      </c>
    </row>
    <row r="939" spans="7:8">
      <c r="G939" t="str">
        <f>IF(F939="","",VLOOKUP(F939,设置!$B$2:$C$4,2,FALSE))</f>
        <v/>
      </c>
      <c r="H939">
        <f t="shared" si="14"/>
        <v>0</v>
      </c>
    </row>
    <row r="940" spans="7:8">
      <c r="G940" t="str">
        <f>IF(F940="","",VLOOKUP(F940,设置!$B$2:$C$4,2,FALSE))</f>
        <v/>
      </c>
      <c r="H940">
        <f t="shared" si="14"/>
        <v>0</v>
      </c>
    </row>
    <row r="941" spans="7:8">
      <c r="G941" t="str">
        <f>IF(F941="","",VLOOKUP(F941,设置!$B$2:$C$4,2,FALSE))</f>
        <v/>
      </c>
      <c r="H941">
        <f t="shared" si="14"/>
        <v>0</v>
      </c>
    </row>
    <row r="942" spans="7:8">
      <c r="G942" t="str">
        <f>IF(F942="","",VLOOKUP(F942,设置!$B$2:$C$4,2,FALSE))</f>
        <v/>
      </c>
      <c r="H942">
        <f t="shared" si="14"/>
        <v>0</v>
      </c>
    </row>
    <row r="943" spans="7:8">
      <c r="G943" t="str">
        <f>IF(F943="","",VLOOKUP(F943,设置!$B$2:$C$4,2,FALSE))</f>
        <v/>
      </c>
      <c r="H943">
        <f t="shared" si="14"/>
        <v>0</v>
      </c>
    </row>
    <row r="944" spans="7:8">
      <c r="G944" t="str">
        <f>IF(F944="","",VLOOKUP(F944,设置!$B$2:$C$4,2,FALSE))</f>
        <v/>
      </c>
      <c r="H944">
        <f t="shared" si="14"/>
        <v>0</v>
      </c>
    </row>
    <row r="945" spans="7:8">
      <c r="G945" t="str">
        <f>IF(F945="","",VLOOKUP(F945,设置!$B$2:$C$4,2,FALSE))</f>
        <v/>
      </c>
      <c r="H945">
        <f t="shared" si="14"/>
        <v>0</v>
      </c>
    </row>
    <row r="946" spans="7:8">
      <c r="G946" t="str">
        <f>IF(F946="","",VLOOKUP(F946,设置!$B$2:$C$4,2,FALSE))</f>
        <v/>
      </c>
      <c r="H946">
        <f t="shared" si="14"/>
        <v>0</v>
      </c>
    </row>
    <row r="947" spans="7:8">
      <c r="G947" t="str">
        <f>IF(F947="","",VLOOKUP(F947,设置!$B$2:$C$4,2,FALSE))</f>
        <v/>
      </c>
      <c r="H947">
        <f t="shared" si="14"/>
        <v>0</v>
      </c>
    </row>
    <row r="948" spans="7:8">
      <c r="G948" t="str">
        <f>IF(F948="","",VLOOKUP(F948,设置!$B$2:$C$4,2,FALSE))</f>
        <v/>
      </c>
      <c r="H948">
        <f t="shared" si="14"/>
        <v>0</v>
      </c>
    </row>
    <row r="949" spans="7:8">
      <c r="G949" t="str">
        <f>IF(F949="","",VLOOKUP(F949,设置!$B$2:$C$4,2,FALSE))</f>
        <v/>
      </c>
      <c r="H949">
        <f t="shared" si="14"/>
        <v>0</v>
      </c>
    </row>
    <row r="950" spans="7:8">
      <c r="G950" t="str">
        <f>IF(F950="","",VLOOKUP(F950,设置!$B$2:$C$4,2,FALSE))</f>
        <v/>
      </c>
      <c r="H950">
        <f t="shared" si="14"/>
        <v>0</v>
      </c>
    </row>
    <row r="951" spans="7:8">
      <c r="G951" t="str">
        <f>IF(F951="","",VLOOKUP(F951,设置!$B$2:$C$4,2,FALSE))</f>
        <v/>
      </c>
      <c r="H951">
        <f t="shared" si="14"/>
        <v>0</v>
      </c>
    </row>
    <row r="952" spans="7:8">
      <c r="G952" t="str">
        <f>IF(F952="","",VLOOKUP(F952,设置!$B$2:$C$4,2,FALSE))</f>
        <v/>
      </c>
      <c r="H952">
        <f t="shared" si="14"/>
        <v>0</v>
      </c>
    </row>
    <row r="953" spans="7:8">
      <c r="G953" t="str">
        <f>IF(F953="","",VLOOKUP(F953,设置!$B$2:$C$4,2,FALSE))</f>
        <v/>
      </c>
      <c r="H953">
        <f t="shared" si="14"/>
        <v>0</v>
      </c>
    </row>
    <row r="954" spans="7:8">
      <c r="G954" t="str">
        <f>IF(F954="","",VLOOKUP(F954,设置!$B$2:$C$4,2,FALSE))</f>
        <v/>
      </c>
      <c r="H954">
        <f t="shared" si="14"/>
        <v>0</v>
      </c>
    </row>
    <row r="955" spans="7:8">
      <c r="G955" t="str">
        <f>IF(F955="","",VLOOKUP(F955,设置!$B$2:$C$4,2,FALSE))</f>
        <v/>
      </c>
      <c r="H955">
        <f t="shared" si="14"/>
        <v>0</v>
      </c>
    </row>
    <row r="956" spans="7:8">
      <c r="G956" t="str">
        <f>IF(F956="","",VLOOKUP(F956,设置!$B$2:$C$4,2,FALSE))</f>
        <v/>
      </c>
      <c r="H956">
        <f t="shared" si="14"/>
        <v>0</v>
      </c>
    </row>
    <row r="957" spans="7:8">
      <c r="G957" t="str">
        <f>IF(F957="","",VLOOKUP(F957,设置!$B$2:$C$4,2,FALSE))</f>
        <v/>
      </c>
      <c r="H957">
        <f t="shared" si="14"/>
        <v>0</v>
      </c>
    </row>
    <row r="958" spans="7:8">
      <c r="G958" t="str">
        <f>IF(F958="","",VLOOKUP(F958,设置!$B$2:$C$4,2,FALSE))</f>
        <v/>
      </c>
      <c r="H958">
        <f t="shared" si="14"/>
        <v>0</v>
      </c>
    </row>
    <row r="959" spans="7:8">
      <c r="G959" t="str">
        <f>IF(F959="","",VLOOKUP(F959,设置!$B$2:$C$4,2,FALSE))</f>
        <v/>
      </c>
      <c r="H959">
        <f t="shared" si="14"/>
        <v>0</v>
      </c>
    </row>
    <row r="960" spans="7:8">
      <c r="G960" t="str">
        <f>IF(F960="","",VLOOKUP(F960,设置!$B$2:$C$4,2,FALSE))</f>
        <v/>
      </c>
      <c r="H960">
        <f t="shared" si="14"/>
        <v>0</v>
      </c>
    </row>
    <row r="961" spans="7:8">
      <c r="G961" t="str">
        <f>IF(F961="","",VLOOKUP(F961,设置!$B$2:$C$4,2,FALSE))</f>
        <v/>
      </c>
      <c r="H961">
        <f t="shared" si="14"/>
        <v>0</v>
      </c>
    </row>
    <row r="962" spans="7:8">
      <c r="G962" t="str">
        <f>IF(F962="","",VLOOKUP(F962,设置!$B$2:$C$4,2,FALSE))</f>
        <v/>
      </c>
      <c r="H962">
        <f t="shared" ref="H962:H1000" si="15">IF(E962="完成",G962,0)</f>
        <v>0</v>
      </c>
    </row>
    <row r="963" spans="7:8">
      <c r="G963" t="str">
        <f>IF(F963="","",VLOOKUP(F963,设置!$B$2:$C$4,2,FALSE))</f>
        <v/>
      </c>
      <c r="H963">
        <f t="shared" si="15"/>
        <v>0</v>
      </c>
    </row>
    <row r="964" spans="7:8">
      <c r="G964" t="str">
        <f>IF(F964="","",VLOOKUP(F964,设置!$B$2:$C$4,2,FALSE))</f>
        <v/>
      </c>
      <c r="H964">
        <f t="shared" si="15"/>
        <v>0</v>
      </c>
    </row>
    <row r="965" spans="7:8">
      <c r="G965" t="str">
        <f>IF(F965="","",VLOOKUP(F965,设置!$B$2:$C$4,2,FALSE))</f>
        <v/>
      </c>
      <c r="H965">
        <f t="shared" si="15"/>
        <v>0</v>
      </c>
    </row>
    <row r="966" spans="7:8">
      <c r="G966" t="str">
        <f>IF(F966="","",VLOOKUP(F966,设置!$B$2:$C$4,2,FALSE))</f>
        <v/>
      </c>
      <c r="H966">
        <f t="shared" si="15"/>
        <v>0</v>
      </c>
    </row>
    <row r="967" spans="7:8">
      <c r="G967" t="str">
        <f>IF(F967="","",VLOOKUP(F967,设置!$B$2:$C$4,2,FALSE))</f>
        <v/>
      </c>
      <c r="H967">
        <f t="shared" si="15"/>
        <v>0</v>
      </c>
    </row>
    <row r="968" spans="7:8">
      <c r="G968" t="str">
        <f>IF(F968="","",VLOOKUP(F968,设置!$B$2:$C$4,2,FALSE))</f>
        <v/>
      </c>
      <c r="H968">
        <f t="shared" si="15"/>
        <v>0</v>
      </c>
    </row>
    <row r="969" spans="7:8">
      <c r="G969" t="str">
        <f>IF(F969="","",VLOOKUP(F969,设置!$B$2:$C$4,2,FALSE))</f>
        <v/>
      </c>
      <c r="H969">
        <f t="shared" si="15"/>
        <v>0</v>
      </c>
    </row>
    <row r="970" spans="7:8">
      <c r="G970" t="str">
        <f>IF(F970="","",VLOOKUP(F970,设置!$B$2:$C$4,2,FALSE))</f>
        <v/>
      </c>
      <c r="H970">
        <f t="shared" si="15"/>
        <v>0</v>
      </c>
    </row>
    <row r="971" spans="7:8">
      <c r="G971" t="str">
        <f>IF(F971="","",VLOOKUP(F971,设置!$B$2:$C$4,2,FALSE))</f>
        <v/>
      </c>
      <c r="H971">
        <f t="shared" si="15"/>
        <v>0</v>
      </c>
    </row>
    <row r="972" spans="7:8">
      <c r="G972" t="str">
        <f>IF(F972="","",VLOOKUP(F972,设置!$B$2:$C$4,2,FALSE))</f>
        <v/>
      </c>
      <c r="H972">
        <f t="shared" si="15"/>
        <v>0</v>
      </c>
    </row>
    <row r="973" spans="7:8">
      <c r="G973" t="str">
        <f>IF(F973="","",VLOOKUP(F973,设置!$B$2:$C$4,2,FALSE))</f>
        <v/>
      </c>
      <c r="H973">
        <f t="shared" si="15"/>
        <v>0</v>
      </c>
    </row>
    <row r="974" spans="7:8">
      <c r="G974" t="str">
        <f>IF(F974="","",VLOOKUP(F974,设置!$B$2:$C$4,2,FALSE))</f>
        <v/>
      </c>
      <c r="H974">
        <f t="shared" si="15"/>
        <v>0</v>
      </c>
    </row>
    <row r="975" spans="7:8">
      <c r="G975" t="str">
        <f>IF(F975="","",VLOOKUP(F975,设置!$B$2:$C$4,2,FALSE))</f>
        <v/>
      </c>
      <c r="H975">
        <f t="shared" si="15"/>
        <v>0</v>
      </c>
    </row>
    <row r="976" spans="7:8">
      <c r="G976" t="str">
        <f>IF(F976="","",VLOOKUP(F976,设置!$B$2:$C$4,2,FALSE))</f>
        <v/>
      </c>
      <c r="H976">
        <f t="shared" si="15"/>
        <v>0</v>
      </c>
    </row>
    <row r="977" spans="7:8">
      <c r="G977" t="str">
        <f>IF(F977="","",VLOOKUP(F977,设置!$B$2:$C$4,2,FALSE))</f>
        <v/>
      </c>
      <c r="H977">
        <f t="shared" si="15"/>
        <v>0</v>
      </c>
    </row>
    <row r="978" spans="7:8">
      <c r="G978" t="str">
        <f>IF(F978="","",VLOOKUP(F978,设置!$B$2:$C$4,2,FALSE))</f>
        <v/>
      </c>
      <c r="H978">
        <f t="shared" si="15"/>
        <v>0</v>
      </c>
    </row>
    <row r="979" spans="7:8">
      <c r="G979" t="str">
        <f>IF(F979="","",VLOOKUP(F979,设置!$B$2:$C$4,2,FALSE))</f>
        <v/>
      </c>
      <c r="H979">
        <f t="shared" si="15"/>
        <v>0</v>
      </c>
    </row>
    <row r="980" spans="7:8">
      <c r="G980" t="str">
        <f>IF(F980="","",VLOOKUP(F980,设置!$B$2:$C$4,2,FALSE))</f>
        <v/>
      </c>
      <c r="H980">
        <f t="shared" si="15"/>
        <v>0</v>
      </c>
    </row>
    <row r="981" spans="7:8">
      <c r="G981" t="str">
        <f>IF(F981="","",VLOOKUP(F981,设置!$B$2:$C$4,2,FALSE))</f>
        <v/>
      </c>
      <c r="H981">
        <f t="shared" si="15"/>
        <v>0</v>
      </c>
    </row>
    <row r="982" spans="7:8">
      <c r="G982" t="str">
        <f>IF(F982="","",VLOOKUP(F982,设置!$B$2:$C$4,2,FALSE))</f>
        <v/>
      </c>
      <c r="H982">
        <f t="shared" si="15"/>
        <v>0</v>
      </c>
    </row>
    <row r="983" spans="7:8">
      <c r="G983" t="str">
        <f>IF(F983="","",VLOOKUP(F983,设置!$B$2:$C$4,2,FALSE))</f>
        <v/>
      </c>
      <c r="H983">
        <f t="shared" si="15"/>
        <v>0</v>
      </c>
    </row>
    <row r="984" spans="7:8">
      <c r="G984" t="str">
        <f>IF(F984="","",VLOOKUP(F984,设置!$B$2:$C$4,2,FALSE))</f>
        <v/>
      </c>
      <c r="H984">
        <f t="shared" si="15"/>
        <v>0</v>
      </c>
    </row>
    <row r="985" spans="7:8">
      <c r="G985" t="str">
        <f>IF(F985="","",VLOOKUP(F985,设置!$B$2:$C$4,2,FALSE))</f>
        <v/>
      </c>
      <c r="H985">
        <f t="shared" si="15"/>
        <v>0</v>
      </c>
    </row>
    <row r="986" spans="7:8">
      <c r="G986" t="str">
        <f>IF(F986="","",VLOOKUP(F986,设置!$B$2:$C$4,2,FALSE))</f>
        <v/>
      </c>
      <c r="H986">
        <f t="shared" si="15"/>
        <v>0</v>
      </c>
    </row>
    <row r="987" spans="7:8">
      <c r="G987" t="str">
        <f>IF(F987="","",VLOOKUP(F987,设置!$B$2:$C$4,2,FALSE))</f>
        <v/>
      </c>
      <c r="H987">
        <f t="shared" si="15"/>
        <v>0</v>
      </c>
    </row>
    <row r="988" spans="7:8">
      <c r="G988" t="str">
        <f>IF(F988="","",VLOOKUP(F988,设置!$B$2:$C$4,2,FALSE))</f>
        <v/>
      </c>
      <c r="H988">
        <f t="shared" si="15"/>
        <v>0</v>
      </c>
    </row>
    <row r="989" spans="7:8">
      <c r="G989" t="str">
        <f>IF(F989="","",VLOOKUP(F989,设置!$B$2:$C$4,2,FALSE))</f>
        <v/>
      </c>
      <c r="H989">
        <f t="shared" si="15"/>
        <v>0</v>
      </c>
    </row>
    <row r="990" spans="7:8">
      <c r="G990" t="str">
        <f>IF(F990="","",VLOOKUP(F990,设置!$B$2:$C$4,2,FALSE))</f>
        <v/>
      </c>
      <c r="H990">
        <f t="shared" si="15"/>
        <v>0</v>
      </c>
    </row>
    <row r="991" spans="7:8">
      <c r="G991" t="str">
        <f>IF(F991="","",VLOOKUP(F991,设置!$B$2:$C$4,2,FALSE))</f>
        <v/>
      </c>
      <c r="H991">
        <f t="shared" si="15"/>
        <v>0</v>
      </c>
    </row>
    <row r="992" spans="7:8">
      <c r="G992" t="str">
        <f>IF(F992="","",VLOOKUP(F992,设置!$B$2:$C$4,2,FALSE))</f>
        <v/>
      </c>
      <c r="H992">
        <f t="shared" si="15"/>
        <v>0</v>
      </c>
    </row>
    <row r="993" spans="7:8">
      <c r="G993" t="str">
        <f>IF(F993="","",VLOOKUP(F993,设置!$B$2:$C$4,2,FALSE))</f>
        <v/>
      </c>
      <c r="H993">
        <f t="shared" si="15"/>
        <v>0</v>
      </c>
    </row>
    <row r="994" spans="7:8">
      <c r="G994" t="str">
        <f>IF(F994="","",VLOOKUP(F994,设置!$B$2:$C$4,2,FALSE))</f>
        <v/>
      </c>
      <c r="H994">
        <f t="shared" si="15"/>
        <v>0</v>
      </c>
    </row>
    <row r="995" spans="7:8">
      <c r="G995" t="str">
        <f>IF(F995="","",VLOOKUP(F995,设置!$B$2:$C$4,2,FALSE))</f>
        <v/>
      </c>
      <c r="H995">
        <f t="shared" si="15"/>
        <v>0</v>
      </c>
    </row>
    <row r="996" spans="7:8">
      <c r="G996" t="str">
        <f>IF(F996="","",VLOOKUP(F996,设置!$B$2:$C$4,2,FALSE))</f>
        <v/>
      </c>
      <c r="H996">
        <f t="shared" si="15"/>
        <v>0</v>
      </c>
    </row>
    <row r="997" spans="7:8">
      <c r="G997" t="str">
        <f>IF(F997="","",VLOOKUP(F997,设置!$B$2:$C$4,2,FALSE))</f>
        <v/>
      </c>
      <c r="H997">
        <f t="shared" si="15"/>
        <v>0</v>
      </c>
    </row>
    <row r="998" spans="7:8">
      <c r="G998" t="str">
        <f>IF(F998="","",VLOOKUP(F998,设置!$B$2:$C$4,2,FALSE))</f>
        <v/>
      </c>
      <c r="H998">
        <f t="shared" si="15"/>
        <v>0</v>
      </c>
    </row>
    <row r="999" spans="7:8">
      <c r="G999" t="str">
        <f>IF(F999="","",VLOOKUP(F999,设置!$B$2:$C$4,2,FALSE))</f>
        <v/>
      </c>
      <c r="H999">
        <f t="shared" si="15"/>
        <v>0</v>
      </c>
    </row>
    <row r="1000" spans="7:8">
      <c r="G1000" t="str">
        <f>IF(F1000="","",VLOOKUP(F1000,设置!$B$2:$C$4,2,FALSE))</f>
        <v/>
      </c>
      <c r="H1000">
        <f t="shared" si="15"/>
        <v>0</v>
      </c>
    </row>
  </sheetData>
  <conditionalFormatting sqref="E2:E1000">
    <cfRule type="cellIs" dxfId="0" priority="1" operator="equal">
      <formula>"完成"</formula>
    </cfRule>
    <cfRule type="cellIs" dxfId="1" priority="2" operator="equal">
      <formula>"未完成"</formula>
    </cfRule>
    <cfRule type="cellIs" dxfId="2" priority="3" operator="equal">
      <formula>"不适用"</formula>
    </cfRule>
  </conditionalFormatting>
  <conditionalFormatting sqref="H2:H1000">
    <cfRule type="dataBar" priority="4">
      <dataBar>
        <cfvo type="num" val="0"/>
        <cfvo type="max"/>
        <color rgb="FF638EC6"/>
      </dataBar>
      <extLst>
        <ext xmlns:x14="http://schemas.microsoft.com/office/spreadsheetml/2009/9/main" uri="{B025F937-C7B1-47D3-B67F-A62EFF666E3E}">
          <x14:id>{1c59a00d-b9be-409c-bf92-6493a873df0b}</x14:id>
        </ext>
      </extLst>
    </cfRule>
  </conditionalFormatting>
  <dataValidations count="4">
    <dataValidation type="list" allowBlank="1" sqref="B2:B1000">
      <formula1>设置!$D$2:$D$7</formula1>
    </dataValidation>
    <dataValidation type="list" allowBlank="1" sqref="C2:C1000">
      <formula1>设置!$E$2:$E$20</formula1>
    </dataValidation>
    <dataValidation type="list" allowBlank="1" sqref="E2:E1000">
      <formula1>设置!$A$2:$A$4</formula1>
    </dataValidation>
    <dataValidation type="list" allowBlank="1" sqref="F2:F1000">
      <formula1>设置!$B$2:$B$4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c59a00d-b9be-409c-bf92-6493a873df0b}">
            <x14:dataBar minLength="10" maxLength="90" negativeBarColorSameAsPositive="1" axisPosition="none">
              <x14:cfvo type="num">
                <xm:f>0</xm:f>
              </x14:cfvo>
              <x14:cfvo type="max"/>
              <x14:axisColor indexed="65"/>
            </x14:dataBar>
          </x14:cfRule>
          <xm:sqref>H2:H1000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.4" outlineLevelCol="1"/>
  <sheetData>
    <row r="1" spans="1:2">
      <c r="A1" t="s">
        <v>40</v>
      </c>
    </row>
    <row r="2" spans="1:2">
      <c r="A2" t="s">
        <v>41</v>
      </c>
      <c r="B2">
        <f>COUNTA(检查表!D2:D1000)</f>
        <v>0</v>
      </c>
    </row>
    <row r="3" spans="1:2">
      <c r="A3" t="s">
        <v>42</v>
      </c>
      <c r="B3">
        <f>COUNTIF(检查表!E2:E1000,"完成")</f>
        <v>0</v>
      </c>
    </row>
    <row r="4" spans="1:2">
      <c r="A4" t="s">
        <v>43</v>
      </c>
      <c r="B4">
        <f>COUNTIF(检查表!E2:E1000,"未完成")</f>
        <v>0</v>
      </c>
    </row>
    <row r="5" spans="1:2">
      <c r="A5" t="s">
        <v>44</v>
      </c>
      <c r="B5">
        <f>COUNTIF(检查表!E2:E1000,"不适用")</f>
        <v>0</v>
      </c>
    </row>
    <row r="6" spans="1:2">
      <c r="A6" t="s">
        <v>45</v>
      </c>
      <c r="B6">
        <f>B2-B5</f>
        <v>0</v>
      </c>
    </row>
    <row r="7" spans="1:2">
      <c r="A7" t="s">
        <v>46</v>
      </c>
      <c r="B7">
        <f>SUMIFS(检查表!G2:G1000,检查表!E2:E1000,"&lt;&gt;不适用")</f>
        <v>0</v>
      </c>
    </row>
    <row r="8" spans="1:2">
      <c r="A8" t="s">
        <v>47</v>
      </c>
      <c r="B8">
        <f>SUM(检查表!H2:H1000)</f>
        <v>0</v>
      </c>
    </row>
    <row r="9" spans="1:2">
      <c r="A9" t="s">
        <v>48</v>
      </c>
      <c r="B9" s="1">
        <f>IF(B6=0,0,B3/B6)</f>
        <v>0</v>
      </c>
    </row>
    <row r="10" spans="1:2">
      <c r="A10" t="s">
        <v>49</v>
      </c>
      <c r="B10" s="1">
        <f>IF(B7=0,0,B8/B7)</f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设置</vt:lpstr>
      <vt:lpstr>检查表</vt:lpstr>
      <vt:lpstr>仪表盘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xiazhfu</cp:lastModifiedBy>
  <dcterms:created xsi:type="dcterms:W3CDTF">2026-09-13T02:07:00Z</dcterms:created>
  <dcterms:modified xsi:type="dcterms:W3CDTF">2026-09-13T02:11:33Z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54EA0481CE8A4BA2B58C7B60965852DA_12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